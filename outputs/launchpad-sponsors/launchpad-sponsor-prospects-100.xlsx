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fa1ed6a079c49f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onsor Prospects" sheetId="1" r:id="R341e0eddba8f4735"/>
    <x:sheet xmlns:r="http://schemas.openxmlformats.org/officeDocument/2006/relationships" name="How to Use" sheetId="2" r:id="R5ce0c7f76bef47f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8"/>
      <x:color rgb="FFFFFFFF"/>
      <x:name val="Carlito"/>
    </x:font>
    <x:font>
      <x:i/>
      <x:sz val="10"/>
      <x:color rgb="FF344054"/>
      <x:name val="Carlito"/>
    </x:font>
    <x:font>
      <x:b/>
      <x:sz val="10"/>
      <x:color rgb="FFFFFFFF"/>
      <x:name val="Carlito"/>
    </x:font>
    <x:font>
      <x:sz val="10"/>
      <x:color rgb="FF101828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01828"/>
      </x:patternFill>
    </x:fill>
    <x:fill>
      <x:patternFill patternType="solid">
        <x:fgColor rgb="FFE8EEF7"/>
      </x:patternFill>
    </x:fill>
    <x:fill>
      <x:patternFill patternType="solid">
        <x:fgColor rgb="FF155EEF"/>
      </x:patternFill>
    </x:fill>
  </x:fills>
  <x:borders count="4">
    <x:border/>
    <x:border>
      <x:bottom style="thin">
        <x:color rgb="FFE4E7EC"/>
      </x:bottom>
    </x:border>
    <x:border>
      <x:top style="thin">
        <x:color rgb="FFE4E7EC"/>
      </x:top>
      <x:bottom style="thin">
        <x:color rgb="FFE4E7EC"/>
      </x:bottom>
    </x:border>
    <x:border>
      <x:top style="thin">
        <x:color rgb="FFE4E7EC"/>
      </x:top>
    </x:border>
  </x:borders>
  <x:cellStyleXfs count="1">
    <x:xf numFmtId="0" fontId="0" fillId="0" borderId="0"/>
  </x:cellStyleXfs>
  <x:cellXfs count="2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vertical="top"/>
    </x:xf>
    <x:xf numFmtId="0" fontId="4" fillId="0" borderId="1" xfId="0" applyNumberFormat="1" applyFont="1" applyFill="1" applyBorder="1" applyAlignment="1">
      <x:alignment vertical="top"/>
    </x:xf>
    <x:xf numFmtId="0" fontId="4" fillId="0" borderId="2" xfId="0" applyNumberFormat="1" applyFont="1" applyFill="1" applyBorder="1" applyAlignment="1">
      <x:alignment vertical="top"/>
    </x:xf>
    <x:xf numFmtId="0" fontId="4" fillId="0" borderId="3" xfId="0" applyNumberFormat="1" applyFont="1" applyFill="1" applyBorder="1" applyAlignment="1">
      <x:alignment vertical="top"/>
    </x:xf>
    <x:xf numFmtId="0" fontId="4" fillId="0" borderId="1" xfId="0" applyNumberFormat="1" applyFont="1" applyFill="1" applyBorder="1" applyAlignment="1">
      <x:alignment vertical="top" wrapText="1"/>
    </x:xf>
    <x:xf numFmtId="0" fontId="4" fillId="0" borderId="2" xfId="0" applyNumberFormat="1" applyFont="1" applyFill="1" applyBorder="1" applyAlignment="1">
      <x:alignment vertical="top" wrapText="1"/>
    </x:xf>
    <x:xf numFmtId="0" fontId="4" fillId="0" borderId="3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 applyAlignment="1">
      <x:alignment horizontal="center" vertical="top"/>
    </x:xf>
    <x:xf numFmtId="0" fontId="4" fillId="0" borderId="2" xfId="0" applyNumberFormat="1" applyFont="1" applyFill="1" applyBorder="1" applyAlignment="1">
      <x:alignment horizontal="center" vertical="top"/>
    </x:xf>
    <x:xf numFmtId="0" fontId="4" fillId="0" borderId="3" xfId="0" applyNumberFormat="1" applyFont="1" applyFill="1" applyBorder="1" applyAlignment="1">
      <x:alignment horizontal="center" vertical="top"/>
    </x:xf>
    <x:xf numFmtId="0" fontId="5" fillId="4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4" borderId="1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475467"/>
      </x:font>
      <x:fill>
        <x:patternFill patternType="solid">
          <x:bgColor rgb="FFF2F4F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ffacd06ab3148b9" /><Relationship Type="http://schemas.openxmlformats.org/officeDocument/2006/relationships/theme" Target="/xl/theme/theme1.xml" Id="R875517f21b714d0f" /><Relationship Type="http://schemas.openxmlformats.org/officeDocument/2006/relationships/sharedStrings" Target="/xl/sharedStrings.xml" Id="R082576e76a424a7a" /><Relationship Type="http://schemas.openxmlformats.org/officeDocument/2006/relationships/worksheet" Target="/xl/worksheets/sheet1.xml" Id="R341e0eddba8f4735" /><Relationship Type="http://schemas.openxmlformats.org/officeDocument/2006/relationships/worksheet" Target="/xl/worksheets/sheet2.xml" Id="R5ce0c7f76bef47f0" /></Relationships>
</file>

<file path=xl/tables/table1.xml><?xml version="1.0" encoding="utf-8"?>
<x:table xmlns:x="http://schemas.openxmlformats.org/spreadsheetml/2006/main" id="1" name="SponsorProspectsTable" displayName="SponsorProspectsTable" ref="A4:S104" headerRowCount="1" totalsRowCount="0" totalsRowShown="0">
  <x:tableColumns count="19">
    <x:tableColumn id="1" name="Seed Rank"/>
    <x:tableColumn id="2" name="Priority"/>
    <x:tableColumn id="3" name="Company"/>
    <x:tableColumn id="4" name="Industry"/>
    <x:tableColumn id="5" name="Evidence / Program"/>
    <x:tableColumn id="6" name="Best Access Route"/>
    <x:tableColumn id="7" name="Suggested Ask"/>
    <x:tableColumn id="8" name="Mission Fit (1–5)"/>
    <x:tableColumn id="9" name="Access (1–5)"/>
    <x:tableColumn id="10" name="Local Angle (1–5)"/>
    <x:tableColumn id="11" name="Score"/>
    <x:tableColumn id="12" name="Geography"/>
    <x:tableColumn id="13" name="Target Role"/>
    <x:tableColumn id="14" name="Source URL"/>
    <x:tableColumn id="15" name="Status"/>
    <x:tableColumn id="16" name="Owner"/>
    <x:tableColumn id="17" name="Last Contact"/>
    <x:tableColumn id="18" name="Next Step"/>
    <x:tableColumn id="19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f3b6d1551ae4bd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9" hidden="0" customWidth="1"/>
    <x:col min="3" max="3" width="24" hidden="0" customWidth="1"/>
    <x:col min="4" max="4" width="22" hidden="0" customWidth="1"/>
    <x:col min="5" max="5" width="46" hidden="0" customWidth="1"/>
    <x:col min="6" max="6" width="31" hidden="0" customWidth="1"/>
    <x:col min="7" max="7" width="20" hidden="0" customWidth="1"/>
    <x:col min="8" max="8" width="14" hidden="0" customWidth="1"/>
    <x:col min="9" max="9" width="12" hidden="0" customWidth="1"/>
    <x:col min="10" max="10" width="16" hidden="0" customWidth="1"/>
    <x:col min="11" max="11" width="10" hidden="0" customWidth="1"/>
    <x:col min="12" max="12" width="25" hidden="0" customWidth="1"/>
    <x:col min="13" max="13" width="34" hidden="0" customWidth="1"/>
    <x:col min="14" max="14" width="45" hidden="0" customWidth="1"/>
    <x:col min="15" max="15" width="17" hidden="0" customWidth="1"/>
    <x:col min="16" max="16" width="14" hidden="0" customWidth="1"/>
    <x:col min="17" max="17" width="14" hidden="0" customWidth="1"/>
    <x:col min="18" max="18" width="23" hidden="0" customWidth="1"/>
    <x:col min="19" max="19" width="30" hidden="0" customWidth="1"/>
  </x:cols>
  <x:sheetData>
    <x:row r="1" ht="34" customHeight="1">
      <x:c r="A1" s="3" t="str">
        <x:v>Launchpad Sponsor Prospect List — 100 Companies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</x:row>
    <x:row r="2" ht="34" customHeight="1">
      <x:c r="A2" s="6" t="str">
        <x:v>Researched 2026-07-27 • “Open application” means a public route was verified; “proven sponsor” means documented youth-STEM support but usually requires a direct pitch or introduction.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  <x:c r="O2" s="6"/>
      <x:c r="P2" s="6"/>
      <x:c r="Q2" s="6"/>
      <x:c r="R2" s="6"/>
      <x:c r="S2" s="6"/>
    </x:row>
    <x:row r="4" ht="34" customHeight="1">
      <x:c r="A4" s="10" t="str">
        <x:v>Seed Rank</x:v>
      </x:c>
      <x:c r="B4" s="10" t="str">
        <x:v>Priority</x:v>
      </x:c>
      <x:c r="C4" s="10" t="str">
        <x:v>Company</x:v>
      </x:c>
      <x:c r="D4" s="10" t="str">
        <x:v>Industry</x:v>
      </x:c>
      <x:c r="E4" s="10" t="str">
        <x:v>Evidence / Program</x:v>
      </x:c>
      <x:c r="F4" s="10" t="str">
        <x:v>Best Access Route</x:v>
      </x:c>
      <x:c r="G4" s="10" t="str">
        <x:v>Suggested Ask</x:v>
      </x:c>
      <x:c r="H4" s="10" t="str">
        <x:v>Mission Fit (1–5)</x:v>
      </x:c>
      <x:c r="I4" s="10" t="str">
        <x:v>Access (1–5)</x:v>
      </x:c>
      <x:c r="J4" s="10" t="str">
        <x:v>Local Angle (1–5)</x:v>
      </x:c>
      <x:c r="K4" s="10" t="str">
        <x:v>Score</x:v>
      </x:c>
      <x:c r="L4" s="10" t="str">
        <x:v>Geography</x:v>
      </x:c>
      <x:c r="M4" s="10" t="str">
        <x:v>Target Role</x:v>
      </x:c>
      <x:c r="N4" s="10" t="str">
        <x:v>Source URL</x:v>
      </x:c>
      <x:c r="O4" s="10" t="str">
        <x:v>Status</x:v>
      </x:c>
      <x:c r="P4" s="10" t="str">
        <x:v>Owner</x:v>
      </x:c>
      <x:c r="Q4" s="10" t="str">
        <x:v>Last Contact</x:v>
      </x:c>
      <x:c r="R4" s="10" t="str">
        <x:v>Next Step</x:v>
      </x:c>
      <x:c r="S4" s="10" t="str">
        <x:v>Notes</x:v>
      </x:c>
    </x:row>
    <x:row r="5" ht="54" customHeight="1">
      <x:c r="A5" s="13" t="n">
        <x:v>1</x:v>
      </x:c>
      <x:c r="B5" s="13" t="str">
        <x:f>IF(K5&gt;=24,"A",IF(K5&gt;=19,"B","C"))</x:f>
        <x:v>A</x:v>
      </x:c>
      <x:c r="C5" s="13" t="str">
        <x:v>Wolfram Research</x:v>
      </x:c>
      <x:c r="D5" s="16" t="str">
        <x:v>Developer tools / education</x:v>
      </x:c>
      <x:c r="E5" s="16" t="str">
        <x:v>Public event sponsorship request form explicitly includes high-school events</x:v>
      </x:c>
      <x:c r="F5" s="16" t="str">
        <x:v>Open application</x:v>
      </x:c>
      <x:c r="G5" s="16" t="str">
        <x:v>$2,500 or software/in-kind</x:v>
      </x:c>
      <x:c r="H5" s="19" t="n">
        <x:v>5</x:v>
      </x:c>
      <x:c r="I5" s="19" t="n">
        <x:v>5</x:v>
      </x:c>
      <x:c r="J5" s="19" t="n">
        <x:v>2</x:v>
      </x:c>
      <x:c r="K5" s="19" t="n">
        <x:f>H5*3+I5*2+J5</x:f>
        <x:v>27</x:v>
      </x:c>
      <x:c r="L5" s="16" t="str">
        <x:v>National</x:v>
      </x:c>
      <x:c r="M5" s="16" t="str">
        <x:v>Grants/community giving</x:v>
      </x:c>
      <x:c r="N5" s="16" t="str">
        <x:v>https://www.wolfram.com/hackathons/sponsor-request/</x:v>
      </x:c>
      <x:c r="O5" s="16" t="str">
        <x:v>Not contacted</x:v>
      </x:c>
      <x:c r="P5" s="16" t="str"/>
      <x:c r="Q5" s="16" t="str"/>
      <x:c r="R5" s="16" t="str">
        <x:v>Research named contact</x:v>
      </x:c>
      <x:c r="S5" s="16" t="str"/>
    </x:row>
    <x:row r="6" ht="54" customHeight="1">
      <x:c r="A6" s="14" t="n">
        <x:v>2</x:v>
      </x:c>
      <x:c r="B6" s="14" t="str">
        <x:f>IF(K6&gt;=24,"A",IF(K6&gt;=19,"B","C"))</x:f>
        <x:v>A</x:v>
      </x:c>
      <x:c r="C6" s="14" t="str">
        <x:v>Itron</x:v>
      </x:c>
      <x:c r="D6" s="17" t="str">
        <x:v>Energy technology</x:v>
      </x:c>
      <x:c r="E6" s="17" t="str">
        <x:v>Corporate funding application supports STEM education, event sponsorship, and in-kind support</x:v>
      </x:c>
      <x:c r="F6" s="17" t="str">
        <x:v>Open application / eligibility assessment</x:v>
      </x:c>
      <x:c r="G6" s="17" t="str">
        <x:v>$2,500–$10,000</x:v>
      </x:c>
      <x:c r="H6" s="20" t="n">
        <x:v>5</x:v>
      </x:c>
      <x:c r="I6" s="20" t="n">
        <x:v>4</x:v>
      </x:c>
      <x:c r="J6" s="20" t="n">
        <x:v>2</x:v>
      </x:c>
      <x:c r="K6" s="20" t="n">
        <x:f>H6*3+I6*2+J6</x:f>
        <x:v>25</x:v>
      </x:c>
      <x:c r="L6" s="17" t="str">
        <x:v>National</x:v>
      </x:c>
      <x:c r="M6" s="17" t="str">
        <x:v>Grants/community giving</x:v>
      </x:c>
      <x:c r="N6" s="17" t="str">
        <x:v>https://emea.itron.com/apply-for-funding</x:v>
      </x:c>
      <x:c r="O6" s="17" t="str">
        <x:v>Not contacted</x:v>
      </x:c>
      <x:c r="P6" s="17" t="str"/>
      <x:c r="Q6" s="17" t="str"/>
      <x:c r="R6" s="17" t="str">
        <x:v>Research named contact</x:v>
      </x:c>
      <x:c r="S6" s="17" t="str"/>
    </x:row>
    <x:row r="7" ht="54" customHeight="1">
      <x:c r="A7" s="14" t="n">
        <x:v>3</x:v>
      </x:c>
      <x:c r="B7" s="14" t="str">
        <x:f>IF(K7&gt;=24,"A",IF(K7&gt;=19,"B","C"))</x:f>
        <x:v>A</x:v>
      </x:c>
      <x:c r="C7" s="14" t="str">
        <x:v>onsemi</x:v>
      </x:c>
      <x:c r="D7" s="17" t="str">
        <x:v>Semiconductors</x:v>
      </x:c>
      <x:c r="E7" s="17" t="str">
        <x:v>Giving Now prioritizes STEAM education for underserved youth; also a 2024–25 FIRST contributor</x:v>
      </x:c>
      <x:c r="F7" s="17" t="str">
        <x:v>Grant application</x:v>
      </x:c>
      <x:c r="G7" s="17" t="str">
        <x:v>$5,000–$10,000</x:v>
      </x:c>
      <x:c r="H7" s="20" t="n">
        <x:v>5</x:v>
      </x:c>
      <x:c r="I7" s="20" t="n">
        <x:v>4</x:v>
      </x:c>
      <x:c r="J7" s="20" t="n">
        <x:v>3</x:v>
      </x:c>
      <x:c r="K7" s="20" t="n">
        <x:f>H7*3+I7*2+J7</x:f>
        <x:v>26</x:v>
      </x:c>
      <x:c r="L7" s="17" t="str">
        <x:v>National</x:v>
      </x:c>
      <x:c r="M7" s="17" t="str">
        <x:v>Community impact, partnerships, or DevRel</x:v>
      </x:c>
      <x:c r="N7" s="17" t="str">
        <x:v>https://www.onsemi.com/company/environmental-social-and-governance/giving-now-program/giving-priorities</x:v>
      </x:c>
      <x:c r="O7" s="17" t="str">
        <x:v>Not contacted</x:v>
      </x:c>
      <x:c r="P7" s="17" t="str"/>
      <x:c r="Q7" s="17" t="str"/>
      <x:c r="R7" s="17" t="str">
        <x:v>Research named contact</x:v>
      </x:c>
      <x:c r="S7" s="17" t="str"/>
    </x:row>
    <x:row r="8" ht="54" customHeight="1">
      <x:c r="A8" s="14" t="n">
        <x:v>4</x:v>
      </x:c>
      <x:c r="B8" s="14" t="str">
        <x:f>IF(K8&gt;=24,"A",IF(K8&gt;=19,"B","C"))</x:f>
        <x:v>A</x:v>
      </x:c>
      <x:c r="C8" s="14" t="str">
        <x:v>Walmart</x:v>
      </x:c>
      <x:c r="D8" s="17" t="str">
        <x:v>Retail</x:v>
      </x:c>
      <x:c r="E8" s="17" t="str">
        <x:v>Spark Good Local Grants are open to eligible nonprofits and schools; $250–$5,000</x:v>
      </x:c>
      <x:c r="F8" s="17" t="str">
        <x:v>Open local grant application</x:v>
      </x:c>
      <x:c r="G8" s="17" t="str">
        <x:v>$2,500–$5,000</x:v>
      </x:c>
      <x:c r="H8" s="20" t="n">
        <x:v>3</x:v>
      </x:c>
      <x:c r="I8" s="20" t="n">
        <x:v>5</x:v>
      </x:c>
      <x:c r="J8" s="20" t="n">
        <x:v>5</x:v>
      </x:c>
      <x:c r="K8" s="20" t="n">
        <x:f>H8*3+I8*2+J8</x:f>
        <x:v>24</x:v>
      </x:c>
      <x:c r="L8" s="17" t="str">
        <x:v>Bay Area / strong local angle</x:v>
      </x:c>
      <x:c r="M8" s="17" t="str">
        <x:v>Grants/community giving</x:v>
      </x:c>
      <x:c r="N8" s="17" t="str">
        <x:v>https://www.walmart.org/how-we-give/program-guidelines/spark-good-local-grants-guidelines</x:v>
      </x:c>
      <x:c r="O8" s="17" t="str">
        <x:v>Not contacted</x:v>
      </x:c>
      <x:c r="P8" s="17" t="str"/>
      <x:c r="Q8" s="17" t="str"/>
      <x:c r="R8" s="17" t="str">
        <x:v>Research named contact</x:v>
      </x:c>
      <x:c r="S8" s="17" t="str"/>
    </x:row>
    <x:row r="9" ht="54" customHeight="1">
      <x:c r="A9" s="14" t="n">
        <x:v>5</x:v>
      </x:c>
      <x:c r="B9" s="14" t="str">
        <x:f>IF(K9&gt;=24,"A",IF(K9&gt;=19,"B","C"))</x:f>
        <x:v>A</x:v>
      </x:c>
      <x:c r="C9" s="14" t="str">
        <x:v>Costco</x:v>
      </x:c>
      <x:c r="D9" s="17" t="str">
        <x:v>Retail</x:v>
      </x:c>
      <x:c r="E9" s="17" t="str">
        <x:v>Rolling charitable requests for 501(c)(3)s supporting children or education</x:v>
      </x:c>
      <x:c r="F9" s="17" t="str">
        <x:v>Rolling application</x:v>
      </x:c>
      <x:c r="G9" s="17" t="str">
        <x:v>$2,500–$5,000</x:v>
      </x:c>
      <x:c r="H9" s="20" t="n">
        <x:v>4</x:v>
      </x:c>
      <x:c r="I9" s="20" t="n">
        <x:v>5</x:v>
      </x:c>
      <x:c r="J9" s="20" t="n">
        <x:v>5</x:v>
      </x:c>
      <x:c r="K9" s="20" t="n">
        <x:f>H9*3+I9*2+J9</x:f>
        <x:v>27</x:v>
      </x:c>
      <x:c r="L9" s="17" t="str">
        <x:v>Bay Area / strong local angle</x:v>
      </x:c>
      <x:c r="M9" s="17" t="str">
        <x:v>Grants/community giving</x:v>
      </x:c>
      <x:c r="N9" s="17" t="str">
        <x:v>https://www.costco.com/charitable-giving-faq.html</x:v>
      </x:c>
      <x:c r="O9" s="17" t="str">
        <x:v>Not contacted</x:v>
      </x:c>
      <x:c r="P9" s="17" t="str"/>
      <x:c r="Q9" s="17" t="str"/>
      <x:c r="R9" s="17" t="str">
        <x:v>Research named contact</x:v>
      </x:c>
      <x:c r="S9" s="17" t="str"/>
    </x:row>
    <x:row r="10" ht="54" customHeight="1">
      <x:c r="A10" s="14" t="n">
        <x:v>6</x:v>
      </x:c>
      <x:c r="B10" s="14" t="str">
        <x:f>IF(K10&gt;=24,"A",IF(K10&gt;=19,"B","C"))</x:f>
        <x:v>A</x:v>
      </x:c>
      <x:c r="C10" s="14" t="str">
        <x:v>Target</x:v>
      </x:c>
      <x:c r="D10" s="17" t="str">
        <x:v>Retail</x:v>
      </x:c>
      <x:c r="E10" s="17" t="str">
        <x:v>Local stores accept GiftCard donation requests from 501(c)(3)s and accredited schools</x:v>
      </x:c>
      <x:c r="F10" s="17" t="str">
        <x:v>In-store request / local giving</x:v>
      </x:c>
      <x:c r="G10" s="17" t="str">
        <x:v>$500–$2,500 or gift cards</x:v>
      </x:c>
      <x:c r="H10" s="20" t="n">
        <x:v>3</x:v>
      </x:c>
      <x:c r="I10" s="20" t="n">
        <x:v>5</x:v>
      </x:c>
      <x:c r="J10" s="20" t="n">
        <x:v>5</x:v>
      </x:c>
      <x:c r="K10" s="20" t="n">
        <x:f>H10*3+I10*2+J10</x:f>
        <x:v>24</x:v>
      </x:c>
      <x:c r="L10" s="17" t="str">
        <x:v>Bay Area / strong local angle</x:v>
      </x:c>
      <x:c r="M10" s="17" t="str">
        <x:v>Community impact, partnerships, or DevRel</x:v>
      </x:c>
      <x:c r="N10" s="17" t="str">
        <x:v>https://corporate.target.com/about/purpose-history/communities/grants-corporate-giving</x:v>
      </x:c>
      <x:c r="O10" s="17" t="str">
        <x:v>Not contacted</x:v>
      </x:c>
      <x:c r="P10" s="17" t="str"/>
      <x:c r="Q10" s="17" t="str"/>
      <x:c r="R10" s="17" t="str">
        <x:v>Research named contact</x:v>
      </x:c>
      <x:c r="S10" s="17" t="str"/>
    </x:row>
    <x:row r="11" ht="54" customHeight="1">
      <x:c r="A11" s="14" t="n">
        <x:v>7</x:v>
      </x:c>
      <x:c r="B11" s="14" t="str">
        <x:f>IF(K11&gt;=24,"A",IF(K11&gt;=19,"B","C"))</x:f>
        <x:v>A</x:v>
      </x:c>
      <x:c r="C11" s="14" t="str">
        <x:v>Best Buy</x:v>
      </x:c>
      <x:c r="D11" s="17" t="str">
        <x:v>Retail / technology</x:v>
      </x:c>
      <x:c r="E11" s="17" t="str">
        <x:v>Best Buy Foundation funds teen technology access and career training; 2024–25 FIRST contributor</x:v>
      </x:c>
      <x:c r="F11" s="17" t="str">
        <x:v>Foundation partnership pitch</x:v>
      </x:c>
      <x:c r="G11" s="17" t="str">
        <x:v>$5,000–$10,000 or equipment</x:v>
      </x:c>
      <x:c r="H11" s="20" t="n">
        <x:v>5</x:v>
      </x:c>
      <x:c r="I11" s="20" t="n">
        <x:v>3</x:v>
      </x:c>
      <x:c r="J11" s="20" t="n">
        <x:v>4</x:v>
      </x:c>
      <x:c r="K11" s="20" t="n">
        <x:f>H11*3+I11*2+J11</x:f>
        <x:v>25</x:v>
      </x:c>
      <x:c r="L11" s="17" t="str">
        <x:v>Local-store route</x:v>
      </x:c>
      <x:c r="M11" s="17" t="str">
        <x:v>Community impact, partnerships, or DevRel</x:v>
      </x:c>
      <x:c r="N11" s="17" t="str">
        <x:v>https://www.bestbuy.com/site/misc/best-buy-foundation-faqs/pcmcat1715784042252.c?id=pcmcat1715784042252</x:v>
      </x:c>
      <x:c r="O11" s="17" t="str">
        <x:v>Not contacted</x:v>
      </x:c>
      <x:c r="P11" s="17" t="str"/>
      <x:c r="Q11" s="17" t="str"/>
      <x:c r="R11" s="17" t="str">
        <x:v>Research named contact</x:v>
      </x:c>
      <x:c r="S11" s="17" t="str"/>
    </x:row>
    <x:row r="12" ht="54" customHeight="1">
      <x:c r="A12" s="14" t="n">
        <x:v>8</x:v>
      </x:c>
      <x:c r="B12" s="14" t="str">
        <x:f>IF(K12&gt;=24,"A",IF(K12&gt;=19,"B","C"))</x:f>
        <x:v>A</x:v>
      </x:c>
      <x:c r="C12" s="14" t="str">
        <x:v>Apple</x:v>
      </x:c>
      <x:c r="D12" s="17" t="str">
        <x:v>Consumer technology</x:v>
      </x:c>
      <x:c r="E12" s="17" t="str">
        <x:v>Listed as a 2024–25 FIRST corporate/foundation contributor supporting youth STEM</x:v>
      </x:c>
      <x:c r="F12" s="17" t="str">
        <x:v>Employee introduction / community-impact team</x:v>
      </x:c>
      <x:c r="G12" s="17" t="str">
        <x:v>$2,500–$10,000</x:v>
      </x:c>
      <x:c r="H12" s="20" t="n">
        <x:v>5</x:v>
      </x:c>
      <x:c r="I12" s="20" t="n">
        <x:v>3</x:v>
      </x:c>
      <x:c r="J12" s="20" t="n">
        <x:v>5</x:v>
      </x:c>
      <x:c r="K12" s="20" t="n">
        <x:f>H12*3+I12*2+J12</x:f>
        <x:v>26</x:v>
      </x:c>
      <x:c r="L12" s="17" t="str">
        <x:v>Bay Area / strong local angle</x:v>
      </x:c>
      <x:c r="M12" s="17" t="str">
        <x:v>CSR/community impact + warm employee</x:v>
      </x:c>
      <x:c r="N12" s="17" t="str">
        <x:v>https://www.firstinspires.org/hubfs/web/about/report/annual_report_2025.pdf?hsLang=en</x:v>
      </x:c>
      <x:c r="O12" s="17" t="str">
        <x:v>Not contacted</x:v>
      </x:c>
      <x:c r="P12" s="17" t="str"/>
      <x:c r="Q12" s="17" t="str"/>
      <x:c r="R12" s="17" t="str">
        <x:v>Research named contact</x:v>
      </x:c>
      <x:c r="S12" s="17" t="str"/>
    </x:row>
    <x:row r="13" ht="54" customHeight="1">
      <x:c r="A13" s="14" t="n">
        <x:v>9</x:v>
      </x:c>
      <x:c r="B13" s="14" t="str">
        <x:f>IF(K13&gt;=24,"A",IF(K13&gt;=19,"B","C"))</x:f>
        <x:v>A</x:v>
      </x:c>
      <x:c r="C13" s="14" t="str">
        <x:v>Google.org / Google</x:v>
      </x:c>
      <x:c r="D13" s="17" t="str">
        <x:v>Technology / philanthropy</x:v>
      </x:c>
      <x:c r="E13" s="17" t="str">
        <x:v>Listed as a 2024–25 FIRST corporate/foundation contributor supporting youth STEM</x:v>
      </x:c>
      <x:c r="F13" s="17" t="str">
        <x:v>Employee introduction / community-impact team</x:v>
      </x:c>
      <x:c r="G13" s="17" t="str">
        <x:v>$2,500–$10,000</x:v>
      </x:c>
      <x:c r="H13" s="20" t="n">
        <x:v>5</x:v>
      </x:c>
      <x:c r="I13" s="20" t="n">
        <x:v>3</x:v>
      </x:c>
      <x:c r="J13" s="20" t="n">
        <x:v>5</x:v>
      </x:c>
      <x:c r="K13" s="20" t="n">
        <x:f>H13*3+I13*2+J13</x:f>
        <x:v>26</x:v>
      </x:c>
      <x:c r="L13" s="17" t="str">
        <x:v>Bay Area / strong local angle</x:v>
      </x:c>
      <x:c r="M13" s="17" t="str">
        <x:v>CSR/community impact + warm employee</x:v>
      </x:c>
      <x:c r="N13" s="17" t="str">
        <x:v>https://www.firstinspires.org/hubfs/web/about/report/annual_report_2025.pdf?hsLang=en</x:v>
      </x:c>
      <x:c r="O13" s="17" t="str">
        <x:v>Not contacted</x:v>
      </x:c>
      <x:c r="P13" s="17" t="str"/>
      <x:c r="Q13" s="17" t="str"/>
      <x:c r="R13" s="17" t="str">
        <x:v>Research named contact</x:v>
      </x:c>
      <x:c r="S13" s="17" t="str"/>
    </x:row>
    <x:row r="14" ht="54" customHeight="1">
      <x:c r="A14" s="14" t="n">
        <x:v>10</x:v>
      </x:c>
      <x:c r="B14" s="14" t="str">
        <x:f>IF(K14&gt;=24,"A",IF(K14&gt;=19,"B","C"))</x:f>
        <x:v>B</x:v>
      </x:c>
      <x:c r="C14" s="14" t="str">
        <x:v>Microsoft</x:v>
      </x:c>
      <x:c r="D14" s="17" t="str">
        <x:v>Cloud / developer tools</x:v>
      </x:c>
      <x:c r="E14" s="17" t="str">
        <x:v>Listed as a 2024–25 FIRST corporate/foundation contributor supporting youth STEM</x:v>
      </x:c>
      <x:c r="F14" s="17" t="str">
        <x:v>Employee introduction / community-impact team</x:v>
      </x:c>
      <x:c r="G14" s="17" t="str">
        <x:v>$2,500–$10,000</x:v>
      </x:c>
      <x:c r="H14" s="20" t="n">
        <x:v>5</x:v>
      </x:c>
      <x:c r="I14" s="20" t="n">
        <x:v>3</x:v>
      </x:c>
      <x:c r="J14" s="20" t="n">
        <x:v>2</x:v>
      </x:c>
      <x:c r="K14" s="20" t="n">
        <x:f>H14*3+I14*2+J14</x:f>
        <x:v>23</x:v>
      </x:c>
      <x:c r="L14" s="17" t="str">
        <x:v>National</x:v>
      </x:c>
      <x:c r="M14" s="17" t="str">
        <x:v>CSR/community impact + warm employee</x:v>
      </x:c>
      <x:c r="N14" s="17" t="str">
        <x:v>https://www.firstinspires.org/hubfs/web/about/report/annual_report_2025.pdf?hsLang=en</x:v>
      </x:c>
      <x:c r="O14" s="17" t="str">
        <x:v>Not contacted</x:v>
      </x:c>
      <x:c r="P14" s="17" t="str"/>
      <x:c r="Q14" s="17" t="str"/>
      <x:c r="R14" s="17" t="str">
        <x:v>Research named contact</x:v>
      </x:c>
      <x:c r="S14" s="17" t="str"/>
    </x:row>
    <x:row r="15" ht="54" customHeight="1">
      <x:c r="A15" s="14" t="n">
        <x:v>11</x:v>
      </x:c>
      <x:c r="B15" s="14" t="str">
        <x:f>IF(K15&gt;=24,"A",IF(K15&gt;=19,"B","C"))</x:f>
        <x:v>A</x:v>
      </x:c>
      <x:c r="C15" s="14" t="str">
        <x:v>GitHub</x:v>
      </x:c>
      <x:c r="D15" s="17" t="str">
        <x:v>Developer tools</x:v>
      </x:c>
      <x:c r="E15" s="17" t="str">
        <x:v>Listed as a 2024–25 FIRST corporate/foundation contributor supporting youth STEM</x:v>
      </x:c>
      <x:c r="F15" s="17" t="str">
        <x:v>Employee introduction / community-impact team</x:v>
      </x:c>
      <x:c r="G15" s="17" t="str">
        <x:v>$2,500–$10,000</x:v>
      </x:c>
      <x:c r="H15" s="20" t="n">
        <x:v>5</x:v>
      </x:c>
      <x:c r="I15" s="20" t="n">
        <x:v>3</x:v>
      </x:c>
      <x:c r="J15" s="20" t="n">
        <x:v>5</x:v>
      </x:c>
      <x:c r="K15" s="20" t="n">
        <x:f>H15*3+I15*2+J15</x:f>
        <x:v>26</x:v>
      </x:c>
      <x:c r="L15" s="17" t="str">
        <x:v>Bay Area / strong local angle</x:v>
      </x:c>
      <x:c r="M15" s="17" t="str">
        <x:v>CSR/community impact + warm employee</x:v>
      </x:c>
      <x:c r="N15" s="17" t="str">
        <x:v>https://www.firstinspires.org/hubfs/web/about/report/annual_report_2025.pdf?hsLang=en</x:v>
      </x:c>
      <x:c r="O15" s="17" t="str">
        <x:v>Not contacted</x:v>
      </x:c>
      <x:c r="P15" s="17" t="str"/>
      <x:c r="Q15" s="17" t="str"/>
      <x:c r="R15" s="17" t="str">
        <x:v>Research named contact</x:v>
      </x:c>
      <x:c r="S15" s="17" t="str"/>
    </x:row>
    <x:row r="16" ht="54" customHeight="1">
      <x:c r="A16" s="14" t="n">
        <x:v>12</x:v>
      </x:c>
      <x:c r="B16" s="14" t="str">
        <x:f>IF(K16&gt;=24,"A",IF(K16&gt;=19,"B","C"))</x:f>
        <x:v>A</x:v>
      </x:c>
      <x:c r="C16" s="14" t="str">
        <x:v>Salesforce</x:v>
      </x:c>
      <x:c r="D16" s="17" t="str">
        <x:v>Enterprise software</x:v>
      </x:c>
      <x:c r="E16" s="17" t="str">
        <x:v>Listed as a 2024–25 FIRST corporate/foundation contributor supporting youth STEM</x:v>
      </x:c>
      <x:c r="F16" s="17" t="str">
        <x:v>Employee introduction / community-impact team</x:v>
      </x:c>
      <x:c r="G16" s="17" t="str">
        <x:v>$2,500–$10,000</x:v>
      </x:c>
      <x:c r="H16" s="20" t="n">
        <x:v>5</x:v>
      </x:c>
      <x:c r="I16" s="20" t="n">
        <x:v>3</x:v>
      </x:c>
      <x:c r="J16" s="20" t="n">
        <x:v>5</x:v>
      </x:c>
      <x:c r="K16" s="20" t="n">
        <x:f>H16*3+I16*2+J16</x:f>
        <x:v>26</x:v>
      </x:c>
      <x:c r="L16" s="17" t="str">
        <x:v>Bay Area / strong local angle</x:v>
      </x:c>
      <x:c r="M16" s="17" t="str">
        <x:v>CSR/community impact + warm employee</x:v>
      </x:c>
      <x:c r="N16" s="17" t="str">
        <x:v>https://www.firstinspires.org/hubfs/web/about/report/annual_report_2025.pdf?hsLang=en</x:v>
      </x:c>
      <x:c r="O16" s="17" t="str">
        <x:v>Not contacted</x:v>
      </x:c>
      <x:c r="P16" s="17" t="str"/>
      <x:c r="Q16" s="17" t="str"/>
      <x:c r="R16" s="17" t="str">
        <x:v>Research named contact</x:v>
      </x:c>
      <x:c r="S16" s="17" t="str"/>
    </x:row>
    <x:row r="17" ht="54" customHeight="1">
      <x:c r="A17" s="14" t="n">
        <x:v>13</x:v>
      </x:c>
      <x:c r="B17" s="14" t="str">
        <x:f>IF(K17&gt;=24,"A",IF(K17&gt;=19,"B","C"))</x:f>
        <x:v>C</x:v>
      </x:c>
      <x:c r="C17" s="14" t="str">
        <x:v>Medtronic</x:v>
      </x:c>
      <x:c r="D17" s="17" t="str">
        <x:v>Medical technology</x:v>
      </x:c>
      <x:c r="E17" s="17" t="str">
        <x:v>Listed as a 2024–25 FIRST corporate/foundation contributor supporting youth STEM</x:v>
      </x:c>
      <x:c r="F17" s="17" t="str">
        <x:v>Direct partnership pitch</x:v>
      </x:c>
      <x:c r="G17" s="17" t="str">
        <x:v>$500–$5,000</x:v>
      </x:c>
      <x:c r="H17" s="20" t="n">
        <x:v>4</x:v>
      </x:c>
      <x:c r="I17" s="20" t="n">
        <x:v>2</x:v>
      </x:c>
      <x:c r="J17" s="20" t="n">
        <x:v>2</x:v>
      </x:c>
      <x:c r="K17" s="20" t="n">
        <x:f>H17*3+I17*2+J17</x:f>
        <x:v>18</x:v>
      </x:c>
      <x:c r="L17" s="17" t="str">
        <x:v>National</x:v>
      </x:c>
      <x:c r="M17" s="17" t="str">
        <x:v>Community impact, partnerships, or DevRel</x:v>
      </x:c>
      <x:c r="N17" s="17" t="str">
        <x:v>https://www.firstinspires.org/hubfs/web/about/report/annual_report_2025.pdf?hsLang=en</x:v>
      </x:c>
      <x:c r="O17" s="17" t="str">
        <x:v>Not contacted</x:v>
      </x:c>
      <x:c r="P17" s="17" t="str"/>
      <x:c r="Q17" s="17" t="str"/>
      <x:c r="R17" s="17" t="str">
        <x:v>Research named contact</x:v>
      </x:c>
      <x:c r="S17" s="17" t="str"/>
    </x:row>
    <x:row r="18" ht="54" customHeight="1">
      <x:c r="A18" s="14" t="n">
        <x:v>14</x:v>
      </x:c>
      <x:c r="B18" s="14" t="str">
        <x:f>IF(K18&gt;=24,"A",IF(K18&gt;=19,"B","C"))</x:f>
        <x:v>A</x:v>
      </x:c>
      <x:c r="C18" s="14" t="str">
        <x:v>Intel</x:v>
      </x:c>
      <x:c r="D18" s="17" t="str">
        <x:v>Semiconductors</x:v>
      </x:c>
      <x:c r="E18" s="17" t="str">
        <x:v>Listed as a 2024–25 FIRST corporate/foundation contributor supporting youth STEM</x:v>
      </x:c>
      <x:c r="F18" s="17" t="str">
        <x:v>Employee introduction / community-impact team</x:v>
      </x:c>
      <x:c r="G18" s="17" t="str">
        <x:v>$2,500–$10,000</x:v>
      </x:c>
      <x:c r="H18" s="20" t="n">
        <x:v>5</x:v>
      </x:c>
      <x:c r="I18" s="20" t="n">
        <x:v>3</x:v>
      </x:c>
      <x:c r="J18" s="20" t="n">
        <x:v>5</x:v>
      </x:c>
      <x:c r="K18" s="20" t="n">
        <x:f>H18*3+I18*2+J18</x:f>
        <x:v>26</x:v>
      </x:c>
      <x:c r="L18" s="17" t="str">
        <x:v>Bay Area / strong local angle</x:v>
      </x:c>
      <x:c r="M18" s="17" t="str">
        <x:v>CSR/community impact + warm employee</x:v>
      </x:c>
      <x:c r="N18" s="17" t="str">
        <x:v>https://www.firstinspires.org/hubfs/web/about/report/annual_report_2025.pdf?hsLang=en</x:v>
      </x:c>
      <x:c r="O18" s="17" t="str">
        <x:v>Not contacted</x:v>
      </x:c>
      <x:c r="P18" s="17" t="str"/>
      <x:c r="Q18" s="17" t="str"/>
      <x:c r="R18" s="17" t="str">
        <x:v>Research named contact</x:v>
      </x:c>
      <x:c r="S18" s="17" t="str"/>
    </x:row>
    <x:row r="19" ht="54" customHeight="1">
      <x:c r="A19" s="14" t="n">
        <x:v>15</x:v>
      </x:c>
      <x:c r="B19" s="14" t="str">
        <x:f>IF(K19&gt;=24,"A",IF(K19&gt;=19,"B","C"))</x:f>
        <x:v>A</x:v>
      </x:c>
      <x:c r="C19" s="14" t="str">
        <x:v>AMD</x:v>
      </x:c>
      <x:c r="D19" s="17" t="str">
        <x:v>Semiconductors</x:v>
      </x:c>
      <x:c r="E19" s="17" t="str">
        <x:v>Listed as a 2024–25 FIRST corporate/foundation contributor supporting youth STEM</x:v>
      </x:c>
      <x:c r="F19" s="17" t="str">
        <x:v>Employee introduction / community-impact team</x:v>
      </x:c>
      <x:c r="G19" s="17" t="str">
        <x:v>$2,500–$10,000</x:v>
      </x:c>
      <x:c r="H19" s="20" t="n">
        <x:v>5</x:v>
      </x:c>
      <x:c r="I19" s="20" t="n">
        <x:v>3</x:v>
      </x:c>
      <x:c r="J19" s="20" t="n">
        <x:v>5</x:v>
      </x:c>
      <x:c r="K19" s="20" t="n">
        <x:f>H19*3+I19*2+J19</x:f>
        <x:v>26</x:v>
      </x:c>
      <x:c r="L19" s="17" t="str">
        <x:v>Bay Area / strong local angle</x:v>
      </x:c>
      <x:c r="M19" s="17" t="str">
        <x:v>CSR/community impact + warm employee</x:v>
      </x:c>
      <x:c r="N19" s="17" t="str">
        <x:v>https://www.firstinspires.org/hubfs/web/about/report/annual_report_2025.pdf?hsLang=en</x:v>
      </x:c>
      <x:c r="O19" s="17" t="str">
        <x:v>Not contacted</x:v>
      </x:c>
      <x:c r="P19" s="17" t="str"/>
      <x:c r="Q19" s="17" t="str"/>
      <x:c r="R19" s="17" t="str">
        <x:v>Research named contact</x:v>
      </x:c>
      <x:c r="S19" s="17" t="str"/>
    </x:row>
    <x:row r="20" ht="54" customHeight="1">
      <x:c r="A20" s="14" t="n">
        <x:v>16</x:v>
      </x:c>
      <x:c r="B20" s="14" t="str">
        <x:f>IF(K20&gt;=24,"A",IF(K20&gt;=19,"B","C"))</x:f>
        <x:v>B</x:v>
      </x:c>
      <x:c r="C20" s="14" t="str">
        <x:v>Cisco</x:v>
      </x:c>
      <x:c r="D20" s="17" t="str">
        <x:v>Networking / security</x:v>
      </x:c>
      <x:c r="E20" s="17" t="str">
        <x:v>Listed as a 2024–25 FIRST corporate/foundation contributor supporting youth STEM</x:v>
      </x:c>
      <x:c r="F20" s="17" t="str">
        <x:v>Employee introduction / community-impact team</x:v>
      </x:c>
      <x:c r="G20" s="17" t="str">
        <x:v>$2,500–$10,000</x:v>
      </x:c>
      <x:c r="H20" s="20" t="n">
        <x:v>5</x:v>
      </x:c>
      <x:c r="I20" s="20" t="n">
        <x:v>3</x:v>
      </x:c>
      <x:c r="J20" s="20" t="n">
        <x:v>2</x:v>
      </x:c>
      <x:c r="K20" s="20" t="n">
        <x:f>H20*3+I20*2+J20</x:f>
        <x:v>23</x:v>
      </x:c>
      <x:c r="L20" s="17" t="str">
        <x:v>National</x:v>
      </x:c>
      <x:c r="M20" s="17" t="str">
        <x:v>CSR/community impact + warm employee</x:v>
      </x:c>
      <x:c r="N20" s="17" t="str">
        <x:v>https://www.firstinspires.org/hubfs/web/about/report/annual_report_2025.pdf?hsLang=en</x:v>
      </x:c>
      <x:c r="O20" s="17" t="str">
        <x:v>Not contacted</x:v>
      </x:c>
      <x:c r="P20" s="17" t="str"/>
      <x:c r="Q20" s="17" t="str"/>
      <x:c r="R20" s="17" t="str">
        <x:v>Research named contact</x:v>
      </x:c>
      <x:c r="S20" s="17" t="str"/>
    </x:row>
    <x:row r="21" ht="54" customHeight="1">
      <x:c r="A21" s="14" t="n">
        <x:v>17</x:v>
      </x:c>
      <x:c r="B21" s="14" t="str">
        <x:f>IF(K21&gt;=24,"A",IF(K21&gt;=19,"B","C"))</x:f>
        <x:v>C</x:v>
      </x:c>
      <x:c r="C21" s="14" t="str">
        <x:v>Motorola Solutions</x:v>
      </x:c>
      <x:c r="D21" s="17" t="str">
        <x:v>Communications technology</x:v>
      </x:c>
      <x:c r="E21" s="17" t="str">
        <x:v>Listed as a 2024–25 FIRST corporate/foundation contributor supporting youth STEM</x:v>
      </x:c>
      <x:c r="F21" s="17" t="str">
        <x:v>Direct partnership pitch</x:v>
      </x:c>
      <x:c r="G21" s="17" t="str">
        <x:v>$500–$5,000</x:v>
      </x:c>
      <x:c r="H21" s="20" t="n">
        <x:v>4</x:v>
      </x:c>
      <x:c r="I21" s="20" t="n">
        <x:v>2</x:v>
      </x:c>
      <x:c r="J21" s="20" t="n">
        <x:v>2</x:v>
      </x:c>
      <x:c r="K21" s="20" t="n">
        <x:f>H21*3+I21*2+J21</x:f>
        <x:v>18</x:v>
      </x:c>
      <x:c r="L21" s="17" t="str">
        <x:v>National</x:v>
      </x:c>
      <x:c r="M21" s="17" t="str">
        <x:v>Community impact, partnerships, or DevRel</x:v>
      </x:c>
      <x:c r="N21" s="17" t="str">
        <x:v>https://www.firstinspires.org/hubfs/web/about/report/annual_report_2025.pdf?hsLang=en</x:v>
      </x:c>
      <x:c r="O21" s="17" t="str">
        <x:v>Not contacted</x:v>
      </x:c>
      <x:c r="P21" s="17" t="str"/>
      <x:c r="Q21" s="17" t="str"/>
      <x:c r="R21" s="17" t="str">
        <x:v>Research named contact</x:v>
      </x:c>
      <x:c r="S21" s="17" t="str"/>
    </x:row>
    <x:row r="22" ht="54" customHeight="1">
      <x:c r="A22" s="14" t="n">
        <x:v>18</x:v>
      </x:c>
      <x:c r="B22" s="14" t="str">
        <x:f>IF(K22&gt;=24,"A",IF(K22&gt;=19,"B","C"))</x:f>
        <x:v>C</x:v>
      </x:c>
      <x:c r="C22" s="14" t="str">
        <x:v>Novelis</x:v>
      </x:c>
      <x:c r="D22" s="17" t="str">
        <x:v>Advanced manufacturing</x:v>
      </x:c>
      <x:c r="E22" s="17" t="str">
        <x:v>Listed as a 2024–25 FIRST corporate/foundation contributor supporting youth STEM</x:v>
      </x:c>
      <x:c r="F22" s="17" t="str">
        <x:v>Direct partnership pitch</x:v>
      </x:c>
      <x:c r="G22" s="17" t="str">
        <x:v>$500–$5,000</x:v>
      </x:c>
      <x:c r="H22" s="20" t="n">
        <x:v>4</x:v>
      </x:c>
      <x:c r="I22" s="20" t="n">
        <x:v>2</x:v>
      </x:c>
      <x:c r="J22" s="20" t="n">
        <x:v>2</x:v>
      </x:c>
      <x:c r="K22" s="20" t="n">
        <x:f>H22*3+I22*2+J22</x:f>
        <x:v>18</x:v>
      </x:c>
      <x:c r="L22" s="17" t="str">
        <x:v>National</x:v>
      </x:c>
      <x:c r="M22" s="17" t="str">
        <x:v>Community impact, partnerships, or DevRel</x:v>
      </x:c>
      <x:c r="N22" s="17" t="str">
        <x:v>https://www.firstinspires.org/hubfs/web/about/report/annual_report_2025.pdf?hsLang=en</x:v>
      </x:c>
      <x:c r="O22" s="17" t="str">
        <x:v>Not contacted</x:v>
      </x:c>
      <x:c r="P22" s="17" t="str"/>
      <x:c r="Q22" s="17" t="str"/>
      <x:c r="R22" s="17" t="str">
        <x:v>Research named contact</x:v>
      </x:c>
      <x:c r="S22" s="17" t="str"/>
    </x:row>
    <x:row r="23" ht="54" customHeight="1">
      <x:c r="A23" s="14" t="n">
        <x:v>19</x:v>
      </x:c>
      <x:c r="B23" s="14" t="str">
        <x:f>IF(K23&gt;=24,"A",IF(K23&gt;=19,"B","C"))</x:f>
        <x:v>C</x:v>
      </x:c>
      <x:c r="C23" s="14" t="str">
        <x:v>3D Systems</x:v>
      </x:c>
      <x:c r="D23" s="17" t="str">
        <x:v>3D printing / manufacturing</x:v>
      </x:c>
      <x:c r="E23" s="17" t="str">
        <x:v>Listed as a 2024–25 FIRST corporate/foundation contributor supporting youth STEM</x:v>
      </x:c>
      <x:c r="F23" s="17" t="str">
        <x:v>Direct partnership pitch</x:v>
      </x:c>
      <x:c r="G23" s="17" t="str">
        <x:v>$500–$5,000</x:v>
      </x:c>
      <x:c r="H23" s="20" t="n">
        <x:v>4</x:v>
      </x:c>
      <x:c r="I23" s="20" t="n">
        <x:v>2</x:v>
      </x:c>
      <x:c r="J23" s="20" t="n">
        <x:v>2</x:v>
      </x:c>
      <x:c r="K23" s="20" t="n">
        <x:f>H23*3+I23*2+J23</x:f>
        <x:v>18</x:v>
      </x:c>
      <x:c r="L23" s="17" t="str">
        <x:v>National</x:v>
      </x:c>
      <x:c r="M23" s="17" t="str">
        <x:v>Community impact, partnerships, or DevRel</x:v>
      </x:c>
      <x:c r="N23" s="17" t="str">
        <x:v>https://www.firstinspires.org/hubfs/web/about/report/annual_report_2025.pdf?hsLang=en</x:v>
      </x:c>
      <x:c r="O23" s="17" t="str">
        <x:v>Not contacted</x:v>
      </x:c>
      <x:c r="P23" s="17" t="str"/>
      <x:c r="Q23" s="17" t="str"/>
      <x:c r="R23" s="17" t="str">
        <x:v>Research named contact</x:v>
      </x:c>
      <x:c r="S23" s="17" t="str"/>
    </x:row>
    <x:row r="24" ht="54" customHeight="1">
      <x:c r="A24" s="14" t="n">
        <x:v>20</x:v>
      </x:c>
      <x:c r="B24" s="14" t="str">
        <x:f>IF(K24&gt;=24,"A",IF(K24&gt;=19,"B","C"))</x:f>
        <x:v>A</x:v>
      </x:c>
      <x:c r="C24" s="14" t="str">
        <x:v>Qualcomm</x:v>
      </x:c>
      <x:c r="D24" s="17" t="str">
        <x:v>Semiconductors / wireless</x:v>
      </x:c>
      <x:c r="E24" s="17" t="str">
        <x:v>Listed as a 2024–25 FIRST corporate/foundation contributor supporting youth STEM</x:v>
      </x:c>
      <x:c r="F24" s="17" t="str">
        <x:v>Employee introduction / community-impact team</x:v>
      </x:c>
      <x:c r="G24" s="17" t="str">
        <x:v>$2,500–$10,000</x:v>
      </x:c>
      <x:c r="H24" s="20" t="n">
        <x:v>5</x:v>
      </x:c>
      <x:c r="I24" s="20" t="n">
        <x:v>3</x:v>
      </x:c>
      <x:c r="J24" s="20" t="n">
        <x:v>5</x:v>
      </x:c>
      <x:c r="K24" s="20" t="n">
        <x:f>H24*3+I24*2+J24</x:f>
        <x:v>26</x:v>
      </x:c>
      <x:c r="L24" s="17" t="str">
        <x:v>Bay Area / strong local angle</x:v>
      </x:c>
      <x:c r="M24" s="17" t="str">
        <x:v>CSR/community impact + warm employee</x:v>
      </x:c>
      <x:c r="N24" s="17" t="str">
        <x:v>https://www.firstinspires.org/hubfs/web/about/report/annual_report_2025.pdf?hsLang=en</x:v>
      </x:c>
      <x:c r="O24" s="17" t="str">
        <x:v>Not contacted</x:v>
      </x:c>
      <x:c r="P24" s="17" t="str"/>
      <x:c r="Q24" s="17" t="str"/>
      <x:c r="R24" s="17" t="str">
        <x:v>Research named contact</x:v>
      </x:c>
      <x:c r="S24" s="17" t="str"/>
    </x:row>
    <x:row r="25" ht="54" customHeight="1">
      <x:c r="A25" s="14" t="n">
        <x:v>21</x:v>
      </x:c>
      <x:c r="B25" s="14" t="str">
        <x:f>IF(K25&gt;=24,"A",IF(K25&gt;=19,"B","C"))</x:f>
        <x:v>A</x:v>
      </x:c>
      <x:c r="C25" s="14" t="str">
        <x:v>Palo Alto Networks</x:v>
      </x:c>
      <x:c r="D25" s="17" t="str">
        <x:v>Cybersecurity</x:v>
      </x:c>
      <x:c r="E25" s="17" t="str">
        <x:v>Listed as a 2024–25 FIRST corporate/foundation contributor supporting youth STEM</x:v>
      </x:c>
      <x:c r="F25" s="17" t="str">
        <x:v>Employee introduction / community-impact team</x:v>
      </x:c>
      <x:c r="G25" s="17" t="str">
        <x:v>$2,500–$10,000</x:v>
      </x:c>
      <x:c r="H25" s="20" t="n">
        <x:v>5</x:v>
      </x:c>
      <x:c r="I25" s="20" t="n">
        <x:v>3</x:v>
      </x:c>
      <x:c r="J25" s="20" t="n">
        <x:v>5</x:v>
      </x:c>
      <x:c r="K25" s="20" t="n">
        <x:f>H25*3+I25*2+J25</x:f>
        <x:v>26</x:v>
      </x:c>
      <x:c r="L25" s="17" t="str">
        <x:v>Bay Area / strong local angle</x:v>
      </x:c>
      <x:c r="M25" s="17" t="str">
        <x:v>CSR/community impact + warm employee</x:v>
      </x:c>
      <x:c r="N25" s="17" t="str">
        <x:v>https://www.firstinspires.org/hubfs/web/about/report/annual_report_2025.pdf?hsLang=en</x:v>
      </x:c>
      <x:c r="O25" s="17" t="str">
        <x:v>Not contacted</x:v>
      </x:c>
      <x:c r="P25" s="17" t="str"/>
      <x:c r="Q25" s="17" t="str"/>
      <x:c r="R25" s="17" t="str">
        <x:v>Research named contact</x:v>
      </x:c>
      <x:c r="S25" s="17" t="str"/>
    </x:row>
    <x:row r="26" ht="54" customHeight="1">
      <x:c r="A26" s="14" t="n">
        <x:v>22</x:v>
      </x:c>
      <x:c r="B26" s="14" t="str">
        <x:f>IF(K26&gt;=24,"A",IF(K26&gt;=19,"B","C"))</x:f>
        <x:v>B</x:v>
      </x:c>
      <x:c r="C26" s="14" t="str">
        <x:v>Okta</x:v>
      </x:c>
      <x:c r="D26" s="17" t="str">
        <x:v>Identity software</x:v>
      </x:c>
      <x:c r="E26" s="17" t="str">
        <x:v>Listed as a 2024–25 FIRST corporate/foundation contributor supporting youth STEM</x:v>
      </x:c>
      <x:c r="F26" s="17" t="str">
        <x:v>Employee introduction / community-impact team</x:v>
      </x:c>
      <x:c r="G26" s="17" t="str">
        <x:v>$500–$5,000</x:v>
      </x:c>
      <x:c r="H26" s="20" t="n">
        <x:v>4</x:v>
      </x:c>
      <x:c r="I26" s="20" t="n">
        <x:v>3</x:v>
      </x:c>
      <x:c r="J26" s="20" t="n">
        <x:v>5</x:v>
      </x:c>
      <x:c r="K26" s="20" t="n">
        <x:f>H26*3+I26*2+J26</x:f>
        <x:v>23</x:v>
      </x:c>
      <x:c r="L26" s="17" t="str">
        <x:v>Bay Area / strong local angle</x:v>
      </x:c>
      <x:c r="M26" s="17" t="str">
        <x:v>CSR/community impact + warm employee</x:v>
      </x:c>
      <x:c r="N26" s="17" t="str">
        <x:v>https://www.firstinspires.org/hubfs/web/about/report/annual_report_2025.pdf?hsLang=en</x:v>
      </x:c>
      <x:c r="O26" s="17" t="str">
        <x:v>Not contacted</x:v>
      </x:c>
      <x:c r="P26" s="17" t="str"/>
      <x:c r="Q26" s="17" t="str"/>
      <x:c r="R26" s="17" t="str">
        <x:v>Research named contact</x:v>
      </x:c>
      <x:c r="S26" s="17" t="str"/>
    </x:row>
    <x:row r="27" ht="54" customHeight="1">
      <x:c r="A27" s="14" t="n">
        <x:v>23</x:v>
      </x:c>
      <x:c r="B27" s="14" t="str">
        <x:f>IF(K27&gt;=24,"A",IF(K27&gt;=19,"B","C"))</x:f>
        <x:v>C</x:v>
      </x:c>
      <x:c r="C27" s="14" t="str">
        <x:v>Abbott</x:v>
      </x:c>
      <x:c r="D27" s="17" t="str">
        <x:v>Health technology</x:v>
      </x:c>
      <x:c r="E27" s="17" t="str">
        <x:v>Listed as a 2024–25 FIRST corporate/foundation contributor supporting youth STEM</x:v>
      </x:c>
      <x:c r="F27" s="17" t="str">
        <x:v>Direct partnership pitch</x:v>
      </x:c>
      <x:c r="G27" s="17" t="str">
        <x:v>$500–$5,000</x:v>
      </x:c>
      <x:c r="H27" s="20" t="n">
        <x:v>4</x:v>
      </x:c>
      <x:c r="I27" s="20" t="n">
        <x:v>2</x:v>
      </x:c>
      <x:c r="J27" s="20" t="n">
        <x:v>2</x:v>
      </x:c>
      <x:c r="K27" s="20" t="n">
        <x:f>H27*3+I27*2+J27</x:f>
        <x:v>18</x:v>
      </x:c>
      <x:c r="L27" s="17" t="str">
        <x:v>National</x:v>
      </x:c>
      <x:c r="M27" s="17" t="str">
        <x:v>Community impact, partnerships, or DevRel</x:v>
      </x:c>
      <x:c r="N27" s="17" t="str">
        <x:v>https://www.firstinspires.org/hubfs/web/about/report/annual_report_2025.pdf?hsLang=en</x:v>
      </x:c>
      <x:c r="O27" s="17" t="str">
        <x:v>Not contacted</x:v>
      </x:c>
      <x:c r="P27" s="17" t="str"/>
      <x:c r="Q27" s="17" t="str"/>
      <x:c r="R27" s="17" t="str">
        <x:v>Research named contact</x:v>
      </x:c>
      <x:c r="S27" s="17" t="str"/>
    </x:row>
    <x:row r="28" ht="54" customHeight="1">
      <x:c r="A28" s="14" t="n">
        <x:v>24</x:v>
      </x:c>
      <x:c r="B28" s="14" t="str">
        <x:f>IF(K28&gt;=24,"A",IF(K28&gt;=19,"B","C"))</x:f>
        <x:v>C</x:v>
      </x:c>
      <x:c r="C28" s="14" t="str">
        <x:v>Arconic</x:v>
      </x:c>
      <x:c r="D28" s="17" t="str">
        <x:v>Advanced manufacturing</x:v>
      </x:c>
      <x:c r="E28" s="17" t="str">
        <x:v>Listed as a 2024–25 FIRST corporate/foundation contributor supporting youth STEM</x:v>
      </x:c>
      <x:c r="F28" s="17" t="str">
        <x:v>Direct partnership pitch</x:v>
      </x:c>
      <x:c r="G28" s="17" t="str">
        <x:v>$500–$5,000</x:v>
      </x:c>
      <x:c r="H28" s="20" t="n">
        <x:v>4</x:v>
      </x:c>
      <x:c r="I28" s="20" t="n">
        <x:v>2</x:v>
      </x:c>
      <x:c r="J28" s="20" t="n">
        <x:v>2</x:v>
      </x:c>
      <x:c r="K28" s="20" t="n">
        <x:f>H28*3+I28*2+J28</x:f>
        <x:v>18</x:v>
      </x:c>
      <x:c r="L28" s="17" t="str">
        <x:v>National</x:v>
      </x:c>
      <x:c r="M28" s="17" t="str">
        <x:v>Community impact, partnerships, or DevRel</x:v>
      </x:c>
      <x:c r="N28" s="17" t="str">
        <x:v>https://www.firstinspires.org/hubfs/web/about/report/annual_report_2025.pdf?hsLang=en</x:v>
      </x:c>
      <x:c r="O28" s="17" t="str">
        <x:v>Not contacted</x:v>
      </x:c>
      <x:c r="P28" s="17" t="str"/>
      <x:c r="Q28" s="17" t="str"/>
      <x:c r="R28" s="17" t="str">
        <x:v>Research named contact</x:v>
      </x:c>
      <x:c r="S28" s="17" t="str"/>
    </x:row>
    <x:row r="29" ht="54" customHeight="1">
      <x:c r="A29" s="14" t="n">
        <x:v>25</x:v>
      </x:c>
      <x:c r="B29" s="14" t="str">
        <x:f>IF(K29&gt;=24,"A",IF(K29&gt;=19,"B","C"))</x:f>
        <x:v>B</x:v>
      </x:c>
      <x:c r="C29" s="14" t="str">
        <x:v>Dell Technologies</x:v>
      </x:c>
      <x:c r="D29" s="17" t="str">
        <x:v>Enterprise technology</x:v>
      </x:c>
      <x:c r="E29" s="17" t="str">
        <x:v>Listed as a 2024–25 FIRST corporate/foundation contributor supporting youth STEM</x:v>
      </x:c>
      <x:c r="F29" s="17" t="str">
        <x:v>Employee introduction / community-impact team</x:v>
      </x:c>
      <x:c r="G29" s="17" t="str">
        <x:v>$2,500–$10,000</x:v>
      </x:c>
      <x:c r="H29" s="20" t="n">
        <x:v>5</x:v>
      </x:c>
      <x:c r="I29" s="20" t="n">
        <x:v>3</x:v>
      </x:c>
      <x:c r="J29" s="20" t="n">
        <x:v>2</x:v>
      </x:c>
      <x:c r="K29" s="20" t="n">
        <x:f>H29*3+I29*2+J29</x:f>
        <x:v>23</x:v>
      </x:c>
      <x:c r="L29" s="17" t="str">
        <x:v>National</x:v>
      </x:c>
      <x:c r="M29" s="17" t="str">
        <x:v>CSR/community impact + warm employee</x:v>
      </x:c>
      <x:c r="N29" s="17" t="str">
        <x:v>https://www.firstinspires.org/hubfs/web/about/report/annual_report_2025.pdf?hsLang=en</x:v>
      </x:c>
      <x:c r="O29" s="17" t="str">
        <x:v>Not contacted</x:v>
      </x:c>
      <x:c r="P29" s="17" t="str"/>
      <x:c r="Q29" s="17" t="str"/>
      <x:c r="R29" s="17" t="str">
        <x:v>Research named contact</x:v>
      </x:c>
      <x:c r="S29" s="17" t="str"/>
    </x:row>
    <x:row r="30" ht="54" customHeight="1">
      <x:c r="A30" s="14" t="n">
        <x:v>26</x:v>
      </x:c>
      <x:c r="B30" s="14" t="str">
        <x:f>IF(K30&gt;=24,"A",IF(K30&gt;=19,"B","C"))</x:f>
        <x:v>C</x:v>
      </x:c>
      <x:c r="C30" s="14" t="str">
        <x:v>Hewlett-Packard / HP</x:v>
      </x:c>
      <x:c r="D30" s="17" t="str">
        <x:v>Computing</x:v>
      </x:c>
      <x:c r="E30" s="17" t="str">
        <x:v>Listed as a 2024–25 FIRST corporate/foundation contributor supporting youth STEM</x:v>
      </x:c>
      <x:c r="F30" s="17" t="str">
        <x:v>Direct partnership pitch</x:v>
      </x:c>
      <x:c r="G30" s="17" t="str">
        <x:v>$500–$5,000</x:v>
      </x:c>
      <x:c r="H30" s="20" t="n">
        <x:v>4</x:v>
      </x:c>
      <x:c r="I30" s="20" t="n">
        <x:v>2</x:v>
      </x:c>
      <x:c r="J30" s="20" t="n">
        <x:v>2</x:v>
      </x:c>
      <x:c r="K30" s="20" t="n">
        <x:f>H30*3+I30*2+J30</x:f>
        <x:v>18</x:v>
      </x:c>
      <x:c r="L30" s="17" t="str">
        <x:v>National</x:v>
      </x:c>
      <x:c r="M30" s="17" t="str">
        <x:v>Community impact, partnerships, or DevRel</x:v>
      </x:c>
      <x:c r="N30" s="17" t="str">
        <x:v>https://www.firstinspires.org/hubfs/web/about/report/annual_report_2025.pdf?hsLang=en</x:v>
      </x:c>
      <x:c r="O30" s="17" t="str">
        <x:v>Not contacted</x:v>
      </x:c>
      <x:c r="P30" s="17" t="str"/>
      <x:c r="Q30" s="17" t="str"/>
      <x:c r="R30" s="17" t="str">
        <x:v>Research named contact</x:v>
      </x:c>
      <x:c r="S30" s="17" t="str"/>
    </x:row>
    <x:row r="31" ht="54" customHeight="1">
      <x:c r="A31" s="14" t="n">
        <x:v>27</x:v>
      </x:c>
      <x:c r="B31" s="14" t="str">
        <x:f>IF(K31&gt;=24,"A",IF(K31&gt;=19,"B","C"))</x:f>
        <x:v>B</x:v>
      </x:c>
      <x:c r="C31" s="14" t="str">
        <x:v>IBM</x:v>
      </x:c>
      <x:c r="D31" s="17" t="str">
        <x:v>Enterprise technology</x:v>
      </x:c>
      <x:c r="E31" s="17" t="str">
        <x:v>Listed as a 2024–25 FIRST corporate/foundation contributor supporting youth STEM</x:v>
      </x:c>
      <x:c r="F31" s="17" t="str">
        <x:v>Employee introduction / community-impact team</x:v>
      </x:c>
      <x:c r="G31" s="17" t="str">
        <x:v>$2,500–$10,000</x:v>
      </x:c>
      <x:c r="H31" s="20" t="n">
        <x:v>5</x:v>
      </x:c>
      <x:c r="I31" s="20" t="n">
        <x:v>3</x:v>
      </x:c>
      <x:c r="J31" s="20" t="n">
        <x:v>2</x:v>
      </x:c>
      <x:c r="K31" s="20" t="n">
        <x:f>H31*3+I31*2+J31</x:f>
        <x:v>23</x:v>
      </x:c>
      <x:c r="L31" s="17" t="str">
        <x:v>National</x:v>
      </x:c>
      <x:c r="M31" s="17" t="str">
        <x:v>CSR/community impact + warm employee</x:v>
      </x:c>
      <x:c r="N31" s="17" t="str">
        <x:v>https://www.firstinspires.org/hubfs/web/about/report/annual_report_2025.pdf?hsLang=en</x:v>
      </x:c>
      <x:c r="O31" s="17" t="str">
        <x:v>Not contacted</x:v>
      </x:c>
      <x:c r="P31" s="17" t="str"/>
      <x:c r="Q31" s="17" t="str"/>
      <x:c r="R31" s="17" t="str">
        <x:v>Research named contact</x:v>
      </x:c>
      <x:c r="S31" s="17" t="str"/>
    </x:row>
    <x:row r="32" ht="54" customHeight="1">
      <x:c r="A32" s="14" t="n">
        <x:v>28</x:v>
      </x:c>
      <x:c r="B32" s="14" t="str">
        <x:f>IF(K32&gt;=24,"A",IF(K32&gt;=19,"B","C"))</x:f>
        <x:v>B</x:v>
      </x:c>
      <x:c r="C32" s="14" t="str">
        <x:v>Oracle</x:v>
      </x:c>
      <x:c r="D32" s="17" t="str">
        <x:v>Enterprise software</x:v>
      </x:c>
      <x:c r="E32" s="17" t="str">
        <x:v>Listed as a 2024–25 FIRST corporate/foundation contributor supporting youth STEM</x:v>
      </x:c>
      <x:c r="F32" s="17" t="str">
        <x:v>Employee introduction / community-impact team</x:v>
      </x:c>
      <x:c r="G32" s="17" t="str">
        <x:v>$2,500–$10,000</x:v>
      </x:c>
      <x:c r="H32" s="20" t="n">
        <x:v>5</x:v>
      </x:c>
      <x:c r="I32" s="20" t="n">
        <x:v>3</x:v>
      </x:c>
      <x:c r="J32" s="20" t="n">
        <x:v>2</x:v>
      </x:c>
      <x:c r="K32" s="20" t="n">
        <x:f>H32*3+I32*2+J32</x:f>
        <x:v>23</x:v>
      </x:c>
      <x:c r="L32" s="17" t="str">
        <x:v>National</x:v>
      </x:c>
      <x:c r="M32" s="17" t="str">
        <x:v>CSR/community impact + warm employee</x:v>
      </x:c>
      <x:c r="N32" s="17" t="str">
        <x:v>https://www.firstinspires.org/hubfs/web/about/report/annual_report_2025.pdf?hsLang=en</x:v>
      </x:c>
      <x:c r="O32" s="17" t="str">
        <x:v>Not contacted</x:v>
      </x:c>
      <x:c r="P32" s="17" t="str"/>
      <x:c r="Q32" s="17" t="str"/>
      <x:c r="R32" s="17" t="str">
        <x:v>Research named contact</x:v>
      </x:c>
      <x:c r="S32" s="17" t="str"/>
    </x:row>
    <x:row r="33" ht="54" customHeight="1">
      <x:c r="A33" s="14" t="n">
        <x:v>29</x:v>
      </x:c>
      <x:c r="B33" s="14" t="str">
        <x:f>IF(K33&gt;=24,"A",IF(K33&gt;=19,"B","C"))</x:f>
        <x:v>C</x:v>
      </x:c>
      <x:c r="C33" s="14" t="str">
        <x:v>F5</x:v>
      </x:c>
      <x:c r="D33" s="17" t="str">
        <x:v>Cloud / security</x:v>
      </x:c>
      <x:c r="E33" s="17" t="str">
        <x:v>Listed as a 2024–25 FIRST corporate/foundation contributor supporting youth STEM</x:v>
      </x:c>
      <x:c r="F33" s="17" t="str">
        <x:v>Direct partnership pitch</x:v>
      </x:c>
      <x:c r="G33" s="17" t="str">
        <x:v>$500–$5,000</x:v>
      </x:c>
      <x:c r="H33" s="20" t="n">
        <x:v>4</x:v>
      </x:c>
      <x:c r="I33" s="20" t="n">
        <x:v>2</x:v>
      </x:c>
      <x:c r="J33" s="20" t="n">
        <x:v>2</x:v>
      </x:c>
      <x:c r="K33" s="20" t="n">
        <x:f>H33*3+I33*2+J33</x:f>
        <x:v>18</x:v>
      </x:c>
      <x:c r="L33" s="17" t="str">
        <x:v>National</x:v>
      </x:c>
      <x:c r="M33" s="17" t="str">
        <x:v>Community impact, partnerships, or DevRel</x:v>
      </x:c>
      <x:c r="N33" s="17" t="str">
        <x:v>https://www.firstinspires.org/hubfs/web/about/report/annual_report_2025.pdf?hsLang=en</x:v>
      </x:c>
      <x:c r="O33" s="17" t="str">
        <x:v>Not contacted</x:v>
      </x:c>
      <x:c r="P33" s="17" t="str"/>
      <x:c r="Q33" s="17" t="str"/>
      <x:c r="R33" s="17" t="str">
        <x:v>Research named contact</x:v>
      </x:c>
      <x:c r="S33" s="17" t="str"/>
    </x:row>
    <x:row r="34" ht="54" customHeight="1">
      <x:c r="A34" s="14" t="n">
        <x:v>30</x:v>
      </x:c>
      <x:c r="B34" s="14" t="str">
        <x:f>IF(K34&gt;=24,"A",IF(K34&gt;=19,"B","C"))</x:f>
        <x:v>B</x:v>
      </x:c>
      <x:c r="C34" s="14" t="str">
        <x:v>Stripe</x:v>
      </x:c>
      <x:c r="D34" s="17" t="str">
        <x:v>Financial technology</x:v>
      </x:c>
      <x:c r="E34" s="17" t="str">
        <x:v>Listed as a 2024–25 FIRST corporate/foundation contributor supporting youth STEM</x:v>
      </x:c>
      <x:c r="F34" s="17" t="str">
        <x:v>Direct partnership pitch</x:v>
      </x:c>
      <x:c r="G34" s="17" t="str">
        <x:v>$500–$5,000</x:v>
      </x:c>
      <x:c r="H34" s="20" t="n">
        <x:v>4</x:v>
      </x:c>
      <x:c r="I34" s="20" t="n">
        <x:v>2</x:v>
      </x:c>
      <x:c r="J34" s="20" t="n">
        <x:v>5</x:v>
      </x:c>
      <x:c r="K34" s="20" t="n">
        <x:f>H34*3+I34*2+J34</x:f>
        <x:v>21</x:v>
      </x:c>
      <x:c r="L34" s="17" t="str">
        <x:v>Bay Area / strong local angle</x:v>
      </x:c>
      <x:c r="M34" s="17" t="str">
        <x:v>Community impact, partnerships, or DevRel</x:v>
      </x:c>
      <x:c r="N34" s="17" t="str">
        <x:v>https://www.firstinspires.org/hubfs/web/about/report/annual_report_2025.pdf?hsLang=en</x:v>
      </x:c>
      <x:c r="O34" s="17" t="str">
        <x:v>Not contacted</x:v>
      </x:c>
      <x:c r="P34" s="17" t="str"/>
      <x:c r="Q34" s="17" t="str"/>
      <x:c r="R34" s="17" t="str">
        <x:v>Research named contact</x:v>
      </x:c>
      <x:c r="S34" s="17" t="str"/>
    </x:row>
    <x:row r="35" ht="54" customHeight="1">
      <x:c r="A35" s="14" t="n">
        <x:v>31</x:v>
      </x:c>
      <x:c r="B35" s="14" t="str">
        <x:f>IF(K35&gt;=24,"A",IF(K35&gt;=19,"B","C"))</x:f>
        <x:v>B</x:v>
      </x:c>
      <x:c r="C35" s="14" t="str">
        <x:v>PayPal</x:v>
      </x:c>
      <x:c r="D35" s="17" t="str">
        <x:v>Financial technology</x:v>
      </x:c>
      <x:c r="E35" s="17" t="str">
        <x:v>Listed as a 2024–25 FIRST corporate/foundation contributor supporting youth STEM</x:v>
      </x:c>
      <x:c r="F35" s="17" t="str">
        <x:v>Direct partnership pitch</x:v>
      </x:c>
      <x:c r="G35" s="17" t="str">
        <x:v>$500–$5,000</x:v>
      </x:c>
      <x:c r="H35" s="20" t="n">
        <x:v>4</x:v>
      </x:c>
      <x:c r="I35" s="20" t="n">
        <x:v>2</x:v>
      </x:c>
      <x:c r="J35" s="20" t="n">
        <x:v>5</x:v>
      </x:c>
      <x:c r="K35" s="20" t="n">
        <x:f>H35*3+I35*2+J35</x:f>
        <x:v>21</x:v>
      </x:c>
      <x:c r="L35" s="17" t="str">
        <x:v>Bay Area / strong local angle</x:v>
      </x:c>
      <x:c r="M35" s="17" t="str">
        <x:v>Community impact, partnerships, or DevRel</x:v>
      </x:c>
      <x:c r="N35" s="17" t="str">
        <x:v>https://www.firstinspires.org/hubfs/web/about/report/annual_report_2025.pdf?hsLang=en</x:v>
      </x:c>
      <x:c r="O35" s="17" t="str">
        <x:v>Not contacted</x:v>
      </x:c>
      <x:c r="P35" s="17" t="str"/>
      <x:c r="Q35" s="17" t="str"/>
      <x:c r="R35" s="17" t="str">
        <x:v>Research named contact</x:v>
      </x:c>
      <x:c r="S35" s="17" t="str"/>
    </x:row>
    <x:row r="36" ht="54" customHeight="1">
      <x:c r="A36" s="14" t="n">
        <x:v>32</x:v>
      </x:c>
      <x:c r="B36" s="14" t="str">
        <x:f>IF(K36&gt;=24,"A",IF(K36&gt;=19,"B","C"))</x:f>
        <x:v>C</x:v>
      </x:c>
      <x:c r="C36" s="14" t="str">
        <x:v>Arrow Electronics</x:v>
      </x:c>
      <x:c r="D36" s="17" t="str">
        <x:v>Electronics distribution</x:v>
      </x:c>
      <x:c r="E36" s="17" t="str">
        <x:v>Listed as a 2024–25 FIRST corporate/foundation contributor supporting youth STEM</x:v>
      </x:c>
      <x:c r="F36" s="17" t="str">
        <x:v>Direct partnership pitch</x:v>
      </x:c>
      <x:c r="G36" s="17" t="str">
        <x:v>$500–$5,000</x:v>
      </x:c>
      <x:c r="H36" s="20" t="n">
        <x:v>4</x:v>
      </x:c>
      <x:c r="I36" s="20" t="n">
        <x:v>2</x:v>
      </x:c>
      <x:c r="J36" s="20" t="n">
        <x:v>2</x:v>
      </x:c>
      <x:c r="K36" s="20" t="n">
        <x:f>H36*3+I36*2+J36</x:f>
        <x:v>18</x:v>
      </x:c>
      <x:c r="L36" s="17" t="str">
        <x:v>National</x:v>
      </x:c>
      <x:c r="M36" s="17" t="str">
        <x:v>Community impact, partnerships, or DevRel</x:v>
      </x:c>
      <x:c r="N36" s="17" t="str">
        <x:v>https://www.firstinspires.org/hubfs/web/about/report/annual_report_2025.pdf?hsLang=en</x:v>
      </x:c>
      <x:c r="O36" s="17" t="str">
        <x:v>Not contacted</x:v>
      </x:c>
      <x:c r="P36" s="17" t="str"/>
      <x:c r="Q36" s="17" t="str"/>
      <x:c r="R36" s="17" t="str">
        <x:v>Research named contact</x:v>
      </x:c>
      <x:c r="S36" s="17" t="str"/>
    </x:row>
    <x:row r="37" ht="54" customHeight="1">
      <x:c r="A37" s="14" t="n">
        <x:v>33</x:v>
      </x:c>
      <x:c r="B37" s="14" t="str">
        <x:f>IF(K37&gt;=24,"A",IF(K37&gt;=19,"B","C"))</x:f>
        <x:v>C</x:v>
      </x:c>
      <x:c r="C37" s="14" t="str">
        <x:v>Ball Corporation</x:v>
      </x:c>
      <x:c r="D37" s="17" t="str">
        <x:v>Advanced manufacturing</x:v>
      </x:c>
      <x:c r="E37" s="17" t="str">
        <x:v>Listed as a 2024–25 FIRST corporate/foundation contributor supporting youth STEM</x:v>
      </x:c>
      <x:c r="F37" s="17" t="str">
        <x:v>Direct partnership pitch</x:v>
      </x:c>
      <x:c r="G37" s="17" t="str">
        <x:v>$500–$5,000</x:v>
      </x:c>
      <x:c r="H37" s="20" t="n">
        <x:v>4</x:v>
      </x:c>
      <x:c r="I37" s="20" t="n">
        <x:v>2</x:v>
      </x:c>
      <x:c r="J37" s="20" t="n">
        <x:v>2</x:v>
      </x:c>
      <x:c r="K37" s="20" t="n">
        <x:f>H37*3+I37*2+J37</x:f>
        <x:v>18</x:v>
      </x:c>
      <x:c r="L37" s="17" t="str">
        <x:v>National</x:v>
      </x:c>
      <x:c r="M37" s="17" t="str">
        <x:v>Community impact, partnerships, or DevRel</x:v>
      </x:c>
      <x:c r="N37" s="17" t="str">
        <x:v>https://www.firstinspires.org/hubfs/web/about/report/annual_report_2025.pdf?hsLang=en</x:v>
      </x:c>
      <x:c r="O37" s="17" t="str">
        <x:v>Not contacted</x:v>
      </x:c>
      <x:c r="P37" s="17" t="str"/>
      <x:c r="Q37" s="17" t="str"/>
      <x:c r="R37" s="17" t="str">
        <x:v>Research named contact</x:v>
      </x:c>
      <x:c r="S37" s="17" t="str"/>
    </x:row>
    <x:row r="38" ht="54" customHeight="1">
      <x:c r="A38" s="14" t="n">
        <x:v>34</x:v>
      </x:c>
      <x:c r="B38" s="14" t="str">
        <x:f>IF(K38&gt;=24,"A",IF(K38&gt;=19,"B","C"))</x:f>
        <x:v>C</x:v>
      </x:c>
      <x:c r="C38" s="14" t="str">
        <x:v>Baxter International</x:v>
      </x:c>
      <x:c r="D38" s="17" t="str">
        <x:v>Medical technology</x:v>
      </x:c>
      <x:c r="E38" s="17" t="str">
        <x:v>Listed as a 2024–25 FIRST corporate/foundation contributor supporting youth STEM</x:v>
      </x:c>
      <x:c r="F38" s="17" t="str">
        <x:v>Direct partnership pitch</x:v>
      </x:c>
      <x:c r="G38" s="17" t="str">
        <x:v>$500–$5,000</x:v>
      </x:c>
      <x:c r="H38" s="20" t="n">
        <x:v>4</x:v>
      </x:c>
      <x:c r="I38" s="20" t="n">
        <x:v>2</x:v>
      </x:c>
      <x:c r="J38" s="20" t="n">
        <x:v>2</x:v>
      </x:c>
      <x:c r="K38" s="20" t="n">
        <x:f>H38*3+I38*2+J38</x:f>
        <x:v>18</x:v>
      </x:c>
      <x:c r="L38" s="17" t="str">
        <x:v>National</x:v>
      </x:c>
      <x:c r="M38" s="17" t="str">
        <x:v>Community impact, partnerships, or DevRel</x:v>
      </x:c>
      <x:c r="N38" s="17" t="str">
        <x:v>https://www.firstinspires.org/hubfs/web/about/report/annual_report_2025.pdf?hsLang=en</x:v>
      </x:c>
      <x:c r="O38" s="17" t="str">
        <x:v>Not contacted</x:v>
      </x:c>
      <x:c r="P38" s="17" t="str"/>
      <x:c r="Q38" s="17" t="str"/>
      <x:c r="R38" s="17" t="str">
        <x:v>Research named contact</x:v>
      </x:c>
      <x:c r="S38" s="17" t="str"/>
    </x:row>
    <x:row r="39" ht="54" customHeight="1">
      <x:c r="A39" s="14" t="n">
        <x:v>35</x:v>
      </x:c>
      <x:c r="B39" s="14" t="str">
        <x:f>IF(K39&gt;=24,"A",IF(K39&gt;=19,"B","C"))</x:f>
        <x:v>C</x:v>
      </x:c>
      <x:c r="C39" s="14" t="str">
        <x:v>Boston Scientific</x:v>
      </x:c>
      <x:c r="D39" s="17" t="str">
        <x:v>Medical technology</x:v>
      </x:c>
      <x:c r="E39" s="17" t="str">
        <x:v>Listed as a 2024–25 FIRST corporate/foundation contributor supporting youth STEM</x:v>
      </x:c>
      <x:c r="F39" s="17" t="str">
        <x:v>Direct partnership pitch</x:v>
      </x:c>
      <x:c r="G39" s="17" t="str">
        <x:v>$500–$5,000</x:v>
      </x:c>
      <x:c r="H39" s="20" t="n">
        <x:v>4</x:v>
      </x:c>
      <x:c r="I39" s="20" t="n">
        <x:v>2</x:v>
      </x:c>
      <x:c r="J39" s="20" t="n">
        <x:v>2</x:v>
      </x:c>
      <x:c r="K39" s="20" t="n">
        <x:f>H39*3+I39*2+J39</x:f>
        <x:v>18</x:v>
      </x:c>
      <x:c r="L39" s="17" t="str">
        <x:v>National</x:v>
      </x:c>
      <x:c r="M39" s="17" t="str">
        <x:v>Community impact, partnerships, or DevRel</x:v>
      </x:c>
      <x:c r="N39" s="17" t="str">
        <x:v>https://www.firstinspires.org/hubfs/web/about/report/annual_report_2025.pdf?hsLang=en</x:v>
      </x:c>
      <x:c r="O39" s="17" t="str">
        <x:v>Not contacted</x:v>
      </x:c>
      <x:c r="P39" s="17" t="str"/>
      <x:c r="Q39" s="17" t="str"/>
      <x:c r="R39" s="17" t="str">
        <x:v>Research named contact</x:v>
      </x:c>
      <x:c r="S39" s="17" t="str"/>
    </x:row>
    <x:row r="40" ht="54" customHeight="1">
      <x:c r="A40" s="14" t="n">
        <x:v>36</x:v>
      </x:c>
      <x:c r="B40" s="14" t="str">
        <x:f>IF(K40&gt;=24,"A",IF(K40&gt;=19,"B","C"))</x:f>
        <x:v>C</x:v>
      </x:c>
      <x:c r="C40" s="14" t="str">
        <x:v>Corning</x:v>
      </x:c>
      <x:c r="D40" s="17" t="str">
        <x:v>Materials science</x:v>
      </x:c>
      <x:c r="E40" s="17" t="str">
        <x:v>Listed as a 2024–25 FIRST corporate/foundation contributor supporting youth STEM</x:v>
      </x:c>
      <x:c r="F40" s="17" t="str">
        <x:v>Direct partnership pitch</x:v>
      </x:c>
      <x:c r="G40" s="17" t="str">
        <x:v>$500–$5,000</x:v>
      </x:c>
      <x:c r="H40" s="20" t="n">
        <x:v>4</x:v>
      </x:c>
      <x:c r="I40" s="20" t="n">
        <x:v>2</x:v>
      </x:c>
      <x:c r="J40" s="20" t="n">
        <x:v>2</x:v>
      </x:c>
      <x:c r="K40" s="20" t="n">
        <x:f>H40*3+I40*2+J40</x:f>
        <x:v>18</x:v>
      </x:c>
      <x:c r="L40" s="17" t="str">
        <x:v>National</x:v>
      </x:c>
      <x:c r="M40" s="17" t="str">
        <x:v>Community impact, partnerships, or DevRel</x:v>
      </x:c>
      <x:c r="N40" s="17" t="str">
        <x:v>https://www.firstinspires.org/hubfs/web/about/report/annual_report_2025.pdf?hsLang=en</x:v>
      </x:c>
      <x:c r="O40" s="17" t="str">
        <x:v>Not contacted</x:v>
      </x:c>
      <x:c r="P40" s="17" t="str"/>
      <x:c r="Q40" s="17" t="str"/>
      <x:c r="R40" s="17" t="str">
        <x:v>Research named contact</x:v>
      </x:c>
      <x:c r="S40" s="17" t="str"/>
    </x:row>
    <x:row r="41" ht="54" customHeight="1">
      <x:c r="A41" s="14" t="n">
        <x:v>37</x:v>
      </x:c>
      <x:c r="B41" s="14" t="str">
        <x:f>IF(K41&gt;=24,"A",IF(K41&gt;=19,"B","C"))</x:f>
        <x:v>C</x:v>
      </x:c>
      <x:c r="C41" s="14" t="str">
        <x:v>GE HealthCare</x:v>
      </x:c>
      <x:c r="D41" s="17" t="str">
        <x:v>Medical technology</x:v>
      </x:c>
      <x:c r="E41" s="17" t="str">
        <x:v>Listed as a 2024–25 FIRST corporate/foundation contributor supporting youth STEM</x:v>
      </x:c>
      <x:c r="F41" s="17" t="str">
        <x:v>Direct partnership pitch</x:v>
      </x:c>
      <x:c r="G41" s="17" t="str">
        <x:v>$500–$5,000</x:v>
      </x:c>
      <x:c r="H41" s="20" t="n">
        <x:v>4</x:v>
      </x:c>
      <x:c r="I41" s="20" t="n">
        <x:v>2</x:v>
      </x:c>
      <x:c r="J41" s="20" t="n">
        <x:v>2</x:v>
      </x:c>
      <x:c r="K41" s="20" t="n">
        <x:f>H41*3+I41*2+J41</x:f>
        <x:v>18</x:v>
      </x:c>
      <x:c r="L41" s="17" t="str">
        <x:v>National</x:v>
      </x:c>
      <x:c r="M41" s="17" t="str">
        <x:v>Community impact, partnerships, or DevRel</x:v>
      </x:c>
      <x:c r="N41" s="17" t="str">
        <x:v>https://www.firstinspires.org/hubfs/web/about/report/annual_report_2025.pdf?hsLang=en</x:v>
      </x:c>
      <x:c r="O41" s="17" t="str">
        <x:v>Not contacted</x:v>
      </x:c>
      <x:c r="P41" s="17" t="str"/>
      <x:c r="Q41" s="17" t="str"/>
      <x:c r="R41" s="17" t="str">
        <x:v>Research named contact</x:v>
      </x:c>
      <x:c r="S41" s="17" t="str"/>
    </x:row>
    <x:row r="42" ht="54" customHeight="1">
      <x:c r="A42" s="14" t="n">
        <x:v>38</x:v>
      </x:c>
      <x:c r="B42" s="14" t="str">
        <x:f>IF(K42&gt;=24,"A",IF(K42&gt;=19,"B","C"))</x:f>
        <x:v>C</x:v>
      </x:c>
      <x:c r="C42" s="14" t="str">
        <x:v>Pfizer</x:v>
      </x:c>
      <x:c r="D42" s="17" t="str">
        <x:v>Life sciences</x:v>
      </x:c>
      <x:c r="E42" s="17" t="str">
        <x:v>Listed as a 2024–25 FIRST corporate/foundation contributor supporting youth STEM</x:v>
      </x:c>
      <x:c r="F42" s="17" t="str">
        <x:v>Direct partnership pitch</x:v>
      </x:c>
      <x:c r="G42" s="17" t="str">
        <x:v>$500–$5,000</x:v>
      </x:c>
      <x:c r="H42" s="20" t="n">
        <x:v>4</x:v>
      </x:c>
      <x:c r="I42" s="20" t="n">
        <x:v>2</x:v>
      </x:c>
      <x:c r="J42" s="20" t="n">
        <x:v>2</x:v>
      </x:c>
      <x:c r="K42" s="20" t="n">
        <x:f>H42*3+I42*2+J42</x:f>
        <x:v>18</x:v>
      </x:c>
      <x:c r="L42" s="17" t="str">
        <x:v>National</x:v>
      </x:c>
      <x:c r="M42" s="17" t="str">
        <x:v>Community impact, partnerships, or DevRel</x:v>
      </x:c>
      <x:c r="N42" s="17" t="str">
        <x:v>https://www.firstinspires.org/hubfs/web/about/report/annual_report_2025.pdf?hsLang=en</x:v>
      </x:c>
      <x:c r="O42" s="17" t="str">
        <x:v>Not contacted</x:v>
      </x:c>
      <x:c r="P42" s="17" t="str"/>
      <x:c r="Q42" s="17" t="str"/>
      <x:c r="R42" s="17" t="str">
        <x:v>Research named contact</x:v>
      </x:c>
      <x:c r="S42" s="17" t="str"/>
    </x:row>
    <x:row r="43" ht="54" customHeight="1">
      <x:c r="A43" s="14" t="n">
        <x:v>39</x:v>
      </x:c>
      <x:c r="B43" s="14" t="str">
        <x:f>IF(K43&gt;=24,"A",IF(K43&gt;=19,"B","C"))</x:f>
        <x:v>C</x:v>
      </x:c>
      <x:c r="C43" s="14" t="str">
        <x:v>Panasonic</x:v>
      </x:c>
      <x:c r="D43" s="17" t="str">
        <x:v>Electronics</x:v>
      </x:c>
      <x:c r="E43" s="17" t="str">
        <x:v>Listed as a 2024–25 FIRST corporate/foundation contributor supporting youth STEM</x:v>
      </x:c>
      <x:c r="F43" s="17" t="str">
        <x:v>Direct partnership pitch</x:v>
      </x:c>
      <x:c r="G43" s="17" t="str">
        <x:v>$500–$5,000</x:v>
      </x:c>
      <x:c r="H43" s="20" t="n">
        <x:v>4</x:v>
      </x:c>
      <x:c r="I43" s="20" t="n">
        <x:v>2</x:v>
      </x:c>
      <x:c r="J43" s="20" t="n">
        <x:v>2</x:v>
      </x:c>
      <x:c r="K43" s="20" t="n">
        <x:f>H43*3+I43*2+J43</x:f>
        <x:v>18</x:v>
      </x:c>
      <x:c r="L43" s="17" t="str">
        <x:v>National</x:v>
      </x:c>
      <x:c r="M43" s="17" t="str">
        <x:v>Community impact, partnerships, or DevRel</x:v>
      </x:c>
      <x:c r="N43" s="17" t="str">
        <x:v>https://www.firstinspires.org/hubfs/web/about/report/annual_report_2025.pdf?hsLang=en</x:v>
      </x:c>
      <x:c r="O43" s="17" t="str">
        <x:v>Not contacted</x:v>
      </x:c>
      <x:c r="P43" s="17" t="str"/>
      <x:c r="Q43" s="17" t="str"/>
      <x:c r="R43" s="17" t="str">
        <x:v>Research named contact</x:v>
      </x:c>
      <x:c r="S43" s="17" t="str"/>
    </x:row>
    <x:row r="44" ht="54" customHeight="1">
      <x:c r="A44" s="14" t="n">
        <x:v>40</x:v>
      </x:c>
      <x:c r="B44" s="14" t="str">
        <x:f>IF(K44&gt;=24,"A",IF(K44&gt;=19,"B","C"))</x:f>
        <x:v>B</x:v>
      </x:c>
      <x:c r="C44" s="14" t="str">
        <x:v>PTC</x:v>
      </x:c>
      <x:c r="D44" s="17" t="str">
        <x:v>Engineering software</x:v>
      </x:c>
      <x:c r="E44" s="17" t="str">
        <x:v>Listed as a 2024–25 FIRST corporate/foundation contributor supporting youth STEM</x:v>
      </x:c>
      <x:c r="F44" s="17" t="str">
        <x:v>Direct partnership pitch</x:v>
      </x:c>
      <x:c r="G44" s="17" t="str">
        <x:v>$2,500–$10,000</x:v>
      </x:c>
      <x:c r="H44" s="20" t="n">
        <x:v>5</x:v>
      </x:c>
      <x:c r="I44" s="20" t="n">
        <x:v>2</x:v>
      </x:c>
      <x:c r="J44" s="20" t="n">
        <x:v>2</x:v>
      </x:c>
      <x:c r="K44" s="20" t="n">
        <x:f>H44*3+I44*2+J44</x:f>
        <x:v>21</x:v>
      </x:c>
      <x:c r="L44" s="17" t="str">
        <x:v>National</x:v>
      </x:c>
      <x:c r="M44" s="17" t="str">
        <x:v>Community impact, partnerships, or DevRel</x:v>
      </x:c>
      <x:c r="N44" s="17" t="str">
        <x:v>https://www.firstinspires.org/hubfs/web/about/report/annual_report_2025.pdf?hsLang=en</x:v>
      </x:c>
      <x:c r="O44" s="17" t="str">
        <x:v>Not contacted</x:v>
      </x:c>
      <x:c r="P44" s="17" t="str"/>
      <x:c r="Q44" s="17" t="str"/>
      <x:c r="R44" s="17" t="str">
        <x:v>Research named contact</x:v>
      </x:c>
      <x:c r="S44" s="17" t="str"/>
    </x:row>
    <x:row r="45" ht="54" customHeight="1">
      <x:c r="A45" s="14" t="n">
        <x:v>41</x:v>
      </x:c>
      <x:c r="B45" s="14" t="str">
        <x:f>IF(K45&gt;=24,"A",IF(K45&gt;=19,"B","C"))</x:f>
        <x:v>B</x:v>
      </x:c>
      <x:c r="C45" s="14" t="str">
        <x:v>Arm</x:v>
      </x:c>
      <x:c r="D45" s="17" t="str">
        <x:v>Semiconductors</x:v>
      </x:c>
      <x:c r="E45" s="17" t="str">
        <x:v>Listed as a 2024–25 FIRST corporate/foundation contributor supporting youth STEM</x:v>
      </x:c>
      <x:c r="F45" s="17" t="str">
        <x:v>Direct partnership pitch</x:v>
      </x:c>
      <x:c r="G45" s="17" t="str">
        <x:v>$500–$5,000</x:v>
      </x:c>
      <x:c r="H45" s="20" t="n">
        <x:v>4</x:v>
      </x:c>
      <x:c r="I45" s="20" t="n">
        <x:v>2</x:v>
      </x:c>
      <x:c r="J45" s="20" t="n">
        <x:v>5</x:v>
      </x:c>
      <x:c r="K45" s="20" t="n">
        <x:f>H45*3+I45*2+J45</x:f>
        <x:v>21</x:v>
      </x:c>
      <x:c r="L45" s="17" t="str">
        <x:v>Bay Area / strong local angle</x:v>
      </x:c>
      <x:c r="M45" s="17" t="str">
        <x:v>Community impact, partnerships, or DevRel</x:v>
      </x:c>
      <x:c r="N45" s="17" t="str">
        <x:v>https://www.firstinspires.org/hubfs/web/about/report/annual_report_2025.pdf?hsLang=en</x:v>
      </x:c>
      <x:c r="O45" s="17" t="str">
        <x:v>Not contacted</x:v>
      </x:c>
      <x:c r="P45" s="17" t="str"/>
      <x:c r="Q45" s="17" t="str"/>
      <x:c r="R45" s="17" t="str">
        <x:v>Research named contact</x:v>
      </x:c>
      <x:c r="S45" s="17" t="str"/>
    </x:row>
    <x:row r="46" ht="54" customHeight="1">
      <x:c r="A46" s="14" t="n">
        <x:v>42</x:v>
      </x:c>
      <x:c r="B46" s="14" t="str">
        <x:f>IF(K46&gt;=24,"A",IF(K46&gt;=19,"B","C"))</x:f>
        <x:v>B</x:v>
      </x:c>
      <x:c r="C46" s="14" t="str">
        <x:v>Analog Devices</x:v>
      </x:c>
      <x:c r="D46" s="17" t="str">
        <x:v>Semiconductors</x:v>
      </x:c>
      <x:c r="E46" s="17" t="str">
        <x:v>Listed as a 2024–25 FIRST corporate/foundation contributor supporting youth STEM</x:v>
      </x:c>
      <x:c r="F46" s="17" t="str">
        <x:v>Direct partnership pitch</x:v>
      </x:c>
      <x:c r="G46" s="17" t="str">
        <x:v>$500–$5,000</x:v>
      </x:c>
      <x:c r="H46" s="20" t="n">
        <x:v>4</x:v>
      </x:c>
      <x:c r="I46" s="20" t="n">
        <x:v>2</x:v>
      </x:c>
      <x:c r="J46" s="20" t="n">
        <x:v>5</x:v>
      </x:c>
      <x:c r="K46" s="20" t="n">
        <x:f>H46*3+I46*2+J46</x:f>
        <x:v>21</x:v>
      </x:c>
      <x:c r="L46" s="17" t="str">
        <x:v>Bay Area / strong local angle</x:v>
      </x:c>
      <x:c r="M46" s="17" t="str">
        <x:v>Community impact, partnerships, or DevRel</x:v>
      </x:c>
      <x:c r="N46" s="17" t="str">
        <x:v>https://www.firstinspires.org/hubfs/web/about/report/annual_report_2025.pdf?hsLang=en</x:v>
      </x:c>
      <x:c r="O46" s="17" t="str">
        <x:v>Not contacted</x:v>
      </x:c>
      <x:c r="P46" s="17" t="str"/>
      <x:c r="Q46" s="17" t="str"/>
      <x:c r="R46" s="17" t="str">
        <x:v>Research named contact</x:v>
      </x:c>
      <x:c r="S46" s="17" t="str"/>
    </x:row>
    <x:row r="47" ht="54" customHeight="1">
      <x:c r="A47" s="14" t="n">
        <x:v>43</x:v>
      </x:c>
      <x:c r="B47" s="14" t="str">
        <x:f>IF(K47&gt;=24,"A",IF(K47&gt;=19,"B","C"))</x:f>
        <x:v>B</x:v>
      </x:c>
      <x:c r="C47" s="14" t="str">
        <x:v>KLA</x:v>
      </x:c>
      <x:c r="D47" s="17" t="str">
        <x:v>Semiconductor equipment</x:v>
      </x:c>
      <x:c r="E47" s="17" t="str">
        <x:v>Listed as a 2024–25 FIRST corporate/foundation contributor supporting youth STEM</x:v>
      </x:c>
      <x:c r="F47" s="17" t="str">
        <x:v>Direct partnership pitch</x:v>
      </x:c>
      <x:c r="G47" s="17" t="str">
        <x:v>$500–$5,000</x:v>
      </x:c>
      <x:c r="H47" s="20" t="n">
        <x:v>4</x:v>
      </x:c>
      <x:c r="I47" s="20" t="n">
        <x:v>2</x:v>
      </x:c>
      <x:c r="J47" s="20" t="n">
        <x:v>5</x:v>
      </x:c>
      <x:c r="K47" s="20" t="n">
        <x:f>H47*3+I47*2+J47</x:f>
        <x:v>21</x:v>
      </x:c>
      <x:c r="L47" s="17" t="str">
        <x:v>Bay Area / strong local angle</x:v>
      </x:c>
      <x:c r="M47" s="17" t="str">
        <x:v>Community impact, partnerships, or DevRel</x:v>
      </x:c>
      <x:c r="N47" s="17" t="str">
        <x:v>https://www.firstinspires.org/hubfs/web/about/report/annual_report_2025.pdf?hsLang=en</x:v>
      </x:c>
      <x:c r="O47" s="17" t="str">
        <x:v>Not contacted</x:v>
      </x:c>
      <x:c r="P47" s="17" t="str"/>
      <x:c r="Q47" s="17" t="str"/>
      <x:c r="R47" s="17" t="str">
        <x:v>Research named contact</x:v>
      </x:c>
      <x:c r="S47" s="17" t="str"/>
    </x:row>
    <x:row r="48" ht="54" customHeight="1">
      <x:c r="A48" s="14" t="n">
        <x:v>44</x:v>
      </x:c>
      <x:c r="B48" s="14" t="str">
        <x:f>IF(K48&gt;=24,"A",IF(K48&gt;=19,"B","C"))</x:f>
        <x:v>B</x:v>
      </x:c>
      <x:c r="C48" s="14" t="str">
        <x:v>ASML</x:v>
      </x:c>
      <x:c r="D48" s="17" t="str">
        <x:v>Semiconductor equipment</x:v>
      </x:c>
      <x:c r="E48" s="17" t="str">
        <x:v>Listed as a 2024–25 FIRST corporate/foundation contributor supporting youth STEM</x:v>
      </x:c>
      <x:c r="F48" s="17" t="str">
        <x:v>Direct partnership pitch</x:v>
      </x:c>
      <x:c r="G48" s="17" t="str">
        <x:v>$500–$5,000</x:v>
      </x:c>
      <x:c r="H48" s="20" t="n">
        <x:v>4</x:v>
      </x:c>
      <x:c r="I48" s="20" t="n">
        <x:v>2</x:v>
      </x:c>
      <x:c r="J48" s="20" t="n">
        <x:v>5</x:v>
      </x:c>
      <x:c r="K48" s="20" t="n">
        <x:f>H48*3+I48*2+J48</x:f>
        <x:v>21</x:v>
      </x:c>
      <x:c r="L48" s="17" t="str">
        <x:v>Bay Area / strong local angle</x:v>
      </x:c>
      <x:c r="M48" s="17" t="str">
        <x:v>Community impact, partnerships, or DevRel</x:v>
      </x:c>
      <x:c r="N48" s="17" t="str">
        <x:v>https://www.firstinspires.org/hubfs/web/about/report/annual_report_2025.pdf?hsLang=en</x:v>
      </x:c>
      <x:c r="O48" s="17" t="str">
        <x:v>Not contacted</x:v>
      </x:c>
      <x:c r="P48" s="17" t="str"/>
      <x:c r="Q48" s="17" t="str"/>
      <x:c r="R48" s="17" t="str">
        <x:v>Research named contact</x:v>
      </x:c>
      <x:c r="S48" s="17" t="str"/>
    </x:row>
    <x:row r="49" ht="54" customHeight="1">
      <x:c r="A49" s="14" t="n">
        <x:v>45</x:v>
      </x:c>
      <x:c r="B49" s="14" t="str">
        <x:f>IF(K49&gt;=24,"A",IF(K49&gt;=19,"B","C"))</x:f>
        <x:v>B</x:v>
      </x:c>
      <x:c r="C49" s="14" t="str">
        <x:v>Texas Instruments</x:v>
      </x:c>
      <x:c r="D49" s="17" t="str">
        <x:v>Semiconductors / education</x:v>
      </x:c>
      <x:c r="E49" s="17" t="str">
        <x:v>Listed as a 2024–25 FIRST corporate/foundation contributor supporting youth STEM</x:v>
      </x:c>
      <x:c r="F49" s="17" t="str">
        <x:v>Direct partnership pitch</x:v>
      </x:c>
      <x:c r="G49" s="17" t="str">
        <x:v>$2,500–$10,000</x:v>
      </x:c>
      <x:c r="H49" s="20" t="n">
        <x:v>5</x:v>
      </x:c>
      <x:c r="I49" s="20" t="n">
        <x:v>2</x:v>
      </x:c>
      <x:c r="J49" s="20" t="n">
        <x:v>2</x:v>
      </x:c>
      <x:c r="K49" s="20" t="n">
        <x:f>H49*3+I49*2+J49</x:f>
        <x:v>21</x:v>
      </x:c>
      <x:c r="L49" s="17" t="str">
        <x:v>National</x:v>
      </x:c>
      <x:c r="M49" s="17" t="str">
        <x:v>Community impact, partnerships, or DevRel</x:v>
      </x:c>
      <x:c r="N49" s="17" t="str">
        <x:v>https://www.firstinspires.org/hubfs/web/about/report/annual_report_2025.pdf?hsLang=en</x:v>
      </x:c>
      <x:c r="O49" s="17" t="str">
        <x:v>Not contacted</x:v>
      </x:c>
      <x:c r="P49" s="17" t="str"/>
      <x:c r="Q49" s="17" t="str"/>
      <x:c r="R49" s="17" t="str">
        <x:v>Research named contact</x:v>
      </x:c>
      <x:c r="S49" s="17" t="str"/>
    </x:row>
    <x:row r="50" ht="54" customHeight="1">
      <x:c r="A50" s="14" t="n">
        <x:v>46</x:v>
      </x:c>
      <x:c r="B50" s="14" t="str">
        <x:f>IF(K50&gt;=24,"A",IF(K50&gt;=19,"B","C"))</x:f>
        <x:v>B</x:v>
      </x:c>
      <x:c r="C50" s="14" t="str">
        <x:v>GlobalFoundries</x:v>
      </x:c>
      <x:c r="D50" s="17" t="str">
        <x:v>Semiconductor manufacturing</x:v>
      </x:c>
      <x:c r="E50" s="17" t="str">
        <x:v>Listed as a 2024–25 FIRST corporate/foundation contributor supporting youth STEM</x:v>
      </x:c>
      <x:c r="F50" s="17" t="str">
        <x:v>Direct partnership pitch</x:v>
      </x:c>
      <x:c r="G50" s="17" t="str">
        <x:v>$500–$5,000</x:v>
      </x:c>
      <x:c r="H50" s="20" t="n">
        <x:v>4</x:v>
      </x:c>
      <x:c r="I50" s="20" t="n">
        <x:v>2</x:v>
      </x:c>
      <x:c r="J50" s="20" t="n">
        <x:v>5</x:v>
      </x:c>
      <x:c r="K50" s="20" t="n">
        <x:f>H50*3+I50*2+J50</x:f>
        <x:v>21</x:v>
      </x:c>
      <x:c r="L50" s="17" t="str">
        <x:v>Bay Area / strong local angle</x:v>
      </x:c>
      <x:c r="M50" s="17" t="str">
        <x:v>Community impact, partnerships, or DevRel</x:v>
      </x:c>
      <x:c r="N50" s="17" t="str">
        <x:v>https://www.firstinspires.org/hubfs/web/about/report/annual_report_2025.pdf?hsLang=en</x:v>
      </x:c>
      <x:c r="O50" s="17" t="str">
        <x:v>Not contacted</x:v>
      </x:c>
      <x:c r="P50" s="17" t="str"/>
      <x:c r="Q50" s="17" t="str"/>
      <x:c r="R50" s="17" t="str">
        <x:v>Research named contact</x:v>
      </x:c>
      <x:c r="S50" s="17" t="str"/>
    </x:row>
    <x:row r="51" ht="54" customHeight="1">
      <x:c r="A51" s="14" t="n">
        <x:v>47</x:v>
      </x:c>
      <x:c r="B51" s="14" t="str">
        <x:f>IF(K51&gt;=24,"A",IF(K51&gt;=19,"B","C"))</x:f>
        <x:v>B</x:v>
      </x:c>
      <x:c r="C51" s="14" t="str">
        <x:v>Mouser Electronics</x:v>
      </x:c>
      <x:c r="D51" s="17" t="str">
        <x:v>Electronics distribution</x:v>
      </x:c>
      <x:c r="E51" s="17" t="str">
        <x:v>Listed as a 2024–25 FIRST corporate/foundation contributor supporting youth STEM</x:v>
      </x:c>
      <x:c r="F51" s="17" t="str">
        <x:v>Direct partnership pitch</x:v>
      </x:c>
      <x:c r="G51" s="17" t="str">
        <x:v>$2,500–$10,000</x:v>
      </x:c>
      <x:c r="H51" s="20" t="n">
        <x:v>5</x:v>
      </x:c>
      <x:c r="I51" s="20" t="n">
        <x:v>2</x:v>
      </x:c>
      <x:c r="J51" s="20" t="n">
        <x:v>2</x:v>
      </x:c>
      <x:c r="K51" s="20" t="n">
        <x:f>H51*3+I51*2+J51</x:f>
        <x:v>21</x:v>
      </x:c>
      <x:c r="L51" s="17" t="str">
        <x:v>National</x:v>
      </x:c>
      <x:c r="M51" s="17" t="str">
        <x:v>Community impact, partnerships, or DevRel</x:v>
      </x:c>
      <x:c r="N51" s="17" t="str">
        <x:v>https://www.firstinspires.org/hubfs/web/about/report/annual_report_2025.pdf?hsLang=en</x:v>
      </x:c>
      <x:c r="O51" s="17" t="str">
        <x:v>Not contacted</x:v>
      </x:c>
      <x:c r="P51" s="17" t="str"/>
      <x:c r="Q51" s="17" t="str"/>
      <x:c r="R51" s="17" t="str">
        <x:v>Research named contact</x:v>
      </x:c>
      <x:c r="S51" s="17" t="str"/>
    </x:row>
    <x:row r="52" ht="54" customHeight="1">
      <x:c r="A52" s="14" t="n">
        <x:v>48</x:v>
      </x:c>
      <x:c r="B52" s="14" t="str">
        <x:f>IF(K52&gt;=24,"A",IF(K52&gt;=19,"B","C"))</x:f>
        <x:v>B</x:v>
      </x:c>
      <x:c r="C52" s="14" t="str">
        <x:v>DigiKey</x:v>
      </x:c>
      <x:c r="D52" s="17" t="str">
        <x:v>Electronics distribution</x:v>
      </x:c>
      <x:c r="E52" s="17" t="str">
        <x:v>Listed as a 2024–25 FIRST corporate/foundation contributor supporting youth STEM</x:v>
      </x:c>
      <x:c r="F52" s="17" t="str">
        <x:v>Direct partnership pitch</x:v>
      </x:c>
      <x:c r="G52" s="17" t="str">
        <x:v>$2,500–$10,000</x:v>
      </x:c>
      <x:c r="H52" s="20" t="n">
        <x:v>5</x:v>
      </x:c>
      <x:c r="I52" s="20" t="n">
        <x:v>2</x:v>
      </x:c>
      <x:c r="J52" s="20" t="n">
        <x:v>2</x:v>
      </x:c>
      <x:c r="K52" s="20" t="n">
        <x:f>H52*3+I52*2+J52</x:f>
        <x:v>21</x:v>
      </x:c>
      <x:c r="L52" s="17" t="str">
        <x:v>National</x:v>
      </x:c>
      <x:c r="M52" s="17" t="str">
        <x:v>Community impact, partnerships, or DevRel</x:v>
      </x:c>
      <x:c r="N52" s="17" t="str">
        <x:v>https://www.firstinspires.org/hubfs/web/about/report/annual_report_2025.pdf?hsLang=en</x:v>
      </x:c>
      <x:c r="O52" s="17" t="str">
        <x:v>Not contacted</x:v>
      </x:c>
      <x:c r="P52" s="17" t="str"/>
      <x:c r="Q52" s="17" t="str"/>
      <x:c r="R52" s="17" t="str">
        <x:v>Research named contact</x:v>
      </x:c>
      <x:c r="S52" s="17" t="str"/>
    </x:row>
    <x:row r="53" ht="54" customHeight="1">
      <x:c r="A53" s="14" t="n">
        <x:v>49</x:v>
      </x:c>
      <x:c r="B53" s="14" t="str">
        <x:f>IF(K53&gt;=24,"A",IF(K53&gt;=19,"B","C"))</x:f>
        <x:v>C</x:v>
      </x:c>
      <x:c r="C53" s="14" t="str">
        <x:v>TE Connectivity</x:v>
      </x:c>
      <x:c r="D53" s="17" t="str">
        <x:v>Electronics / connectivity</x:v>
      </x:c>
      <x:c r="E53" s="17" t="str">
        <x:v>Listed as a 2024–25 FIRST corporate/foundation contributor supporting youth STEM</x:v>
      </x:c>
      <x:c r="F53" s="17" t="str">
        <x:v>Direct partnership pitch</x:v>
      </x:c>
      <x:c r="G53" s="17" t="str">
        <x:v>$500–$5,000</x:v>
      </x:c>
      <x:c r="H53" s="20" t="n">
        <x:v>4</x:v>
      </x:c>
      <x:c r="I53" s="20" t="n">
        <x:v>2</x:v>
      </x:c>
      <x:c r="J53" s="20" t="n">
        <x:v>2</x:v>
      </x:c>
      <x:c r="K53" s="20" t="n">
        <x:f>H53*3+I53*2+J53</x:f>
        <x:v>18</x:v>
      </x:c>
      <x:c r="L53" s="17" t="str">
        <x:v>National</x:v>
      </x:c>
      <x:c r="M53" s="17" t="str">
        <x:v>Community impact, partnerships, or DevRel</x:v>
      </x:c>
      <x:c r="N53" s="17" t="str">
        <x:v>https://www.firstinspires.org/hubfs/web/about/report/annual_report_2025.pdf?hsLang=en</x:v>
      </x:c>
      <x:c r="O53" s="17" t="str">
        <x:v>Not contacted</x:v>
      </x:c>
      <x:c r="P53" s="17" t="str"/>
      <x:c r="Q53" s="17" t="str"/>
      <x:c r="R53" s="17" t="str">
        <x:v>Research named contact</x:v>
      </x:c>
      <x:c r="S53" s="17" t="str"/>
    </x:row>
    <x:row r="54" ht="54" customHeight="1">
      <x:c r="A54" s="14" t="n">
        <x:v>50</x:v>
      </x:c>
      <x:c r="B54" s="14" t="str">
        <x:f>IF(K54&gt;=24,"A",IF(K54&gt;=19,"B","C"))</x:f>
        <x:v>C</x:v>
      </x:c>
      <x:c r="C54" s="14" t="str">
        <x:v>Molex</x:v>
      </x:c>
      <x:c r="D54" s="17" t="str">
        <x:v>Electronics / connectivity</x:v>
      </x:c>
      <x:c r="E54" s="17" t="str">
        <x:v>Listed as a 2024–25 FIRST corporate/foundation contributor supporting youth STEM</x:v>
      </x:c>
      <x:c r="F54" s="17" t="str">
        <x:v>Direct partnership pitch</x:v>
      </x:c>
      <x:c r="G54" s="17" t="str">
        <x:v>$500–$5,000</x:v>
      </x:c>
      <x:c r="H54" s="20" t="n">
        <x:v>4</x:v>
      </x:c>
      <x:c r="I54" s="20" t="n">
        <x:v>2</x:v>
      </x:c>
      <x:c r="J54" s="20" t="n">
        <x:v>2</x:v>
      </x:c>
      <x:c r="K54" s="20" t="n">
        <x:f>H54*3+I54*2+J54</x:f>
        <x:v>18</x:v>
      </x:c>
      <x:c r="L54" s="17" t="str">
        <x:v>National</x:v>
      </x:c>
      <x:c r="M54" s="17" t="str">
        <x:v>Community impact, partnerships, or DevRel</x:v>
      </x:c>
      <x:c r="N54" s="17" t="str">
        <x:v>https://www.firstinspires.org/hubfs/web/about/report/annual_report_2025.pdf?hsLang=en</x:v>
      </x:c>
      <x:c r="O54" s="17" t="str">
        <x:v>Not contacted</x:v>
      </x:c>
      <x:c r="P54" s="17" t="str"/>
      <x:c r="Q54" s="17" t="str"/>
      <x:c r="R54" s="17" t="str">
        <x:v>Research named contact</x:v>
      </x:c>
      <x:c r="S54" s="17" t="str"/>
    </x:row>
    <x:row r="55" ht="54" customHeight="1">
      <x:c r="A55" s="14" t="n">
        <x:v>51</x:v>
      </x:c>
      <x:c r="B55" s="14" t="str">
        <x:f>IF(K55&gt;=24,"A",IF(K55&gt;=19,"B","C"))</x:f>
        <x:v>B</x:v>
      </x:c>
      <x:c r="C55" s="14" t="str">
        <x:v>Rockwell Automation</x:v>
      </x:c>
      <x:c r="D55" s="17" t="str">
        <x:v>Industrial automation</x:v>
      </x:c>
      <x:c r="E55" s="17" t="str">
        <x:v>Listed as a 2024–25 FIRST corporate/foundation contributor supporting youth STEM</x:v>
      </x:c>
      <x:c r="F55" s="17" t="str">
        <x:v>Direct partnership pitch</x:v>
      </x:c>
      <x:c r="G55" s="17" t="str">
        <x:v>$2,500–$10,000</x:v>
      </x:c>
      <x:c r="H55" s="20" t="n">
        <x:v>5</x:v>
      </x:c>
      <x:c r="I55" s="20" t="n">
        <x:v>2</x:v>
      </x:c>
      <x:c r="J55" s="20" t="n">
        <x:v>2</x:v>
      </x:c>
      <x:c r="K55" s="20" t="n">
        <x:f>H55*3+I55*2+J55</x:f>
        <x:v>21</x:v>
      </x:c>
      <x:c r="L55" s="17" t="str">
        <x:v>National</x:v>
      </x:c>
      <x:c r="M55" s="17" t="str">
        <x:v>Community impact, partnerships, or DevRel</x:v>
      </x:c>
      <x:c r="N55" s="17" t="str">
        <x:v>https://www.firstinspires.org/hubfs/web/about/report/annual_report_2025.pdf?hsLang=en</x:v>
      </x:c>
      <x:c r="O55" s="17" t="str">
        <x:v>Not contacted</x:v>
      </x:c>
      <x:c r="P55" s="17" t="str"/>
      <x:c r="Q55" s="17" t="str"/>
      <x:c r="R55" s="17" t="str">
        <x:v>Research named contact</x:v>
      </x:c>
      <x:c r="S55" s="17" t="str"/>
    </x:row>
    <x:row r="56" ht="54" customHeight="1">
      <x:c r="A56" s="14" t="n">
        <x:v>52</x:v>
      </x:c>
      <x:c r="B56" s="14" t="str">
        <x:f>IF(K56&gt;=24,"A",IF(K56&gt;=19,"B","C"))</x:f>
        <x:v>C</x:v>
      </x:c>
      <x:c r="C56" s="14" t="str">
        <x:v>Schneider Electric</x:v>
      </x:c>
      <x:c r="D56" s="17" t="str">
        <x:v>Energy management</x:v>
      </x:c>
      <x:c r="E56" s="17" t="str">
        <x:v>Listed as a 2024–25 FIRST corporate/foundation contributor supporting youth STEM</x:v>
      </x:c>
      <x:c r="F56" s="17" t="str">
        <x:v>Direct partnership pitch</x:v>
      </x:c>
      <x:c r="G56" s="17" t="str">
        <x:v>$500–$5,000</x:v>
      </x:c>
      <x:c r="H56" s="20" t="n">
        <x:v>4</x:v>
      </x:c>
      <x:c r="I56" s="20" t="n">
        <x:v>2</x:v>
      </x:c>
      <x:c r="J56" s="20" t="n">
        <x:v>2</x:v>
      </x:c>
      <x:c r="K56" s="20" t="n">
        <x:f>H56*3+I56*2+J56</x:f>
        <x:v>18</x:v>
      </x:c>
      <x:c r="L56" s="17" t="str">
        <x:v>National</x:v>
      </x:c>
      <x:c r="M56" s="17" t="str">
        <x:v>Community impact, partnerships, or DevRel</x:v>
      </x:c>
      <x:c r="N56" s="17" t="str">
        <x:v>https://www.firstinspires.org/hubfs/web/about/report/annual_report_2025.pdf?hsLang=en</x:v>
      </x:c>
      <x:c r="O56" s="17" t="str">
        <x:v>Not contacted</x:v>
      </x:c>
      <x:c r="P56" s="17" t="str"/>
      <x:c r="Q56" s="17" t="str"/>
      <x:c r="R56" s="17" t="str">
        <x:v>Research named contact</x:v>
      </x:c>
      <x:c r="S56" s="17" t="str"/>
    </x:row>
    <x:row r="57" ht="54" customHeight="1">
      <x:c r="A57" s="14" t="n">
        <x:v>53</x:v>
      </x:c>
      <x:c r="B57" s="14" t="str">
        <x:f>IF(K57&gt;=24,"A",IF(K57&gt;=19,"B","C"))</x:f>
        <x:v>C</x:v>
      </x:c>
      <x:c r="C57" s="14" t="str">
        <x:v>ABB</x:v>
      </x:c>
      <x:c r="D57" s="17" t="str">
        <x:v>Industrial automation</x:v>
      </x:c>
      <x:c r="E57" s="17" t="str">
        <x:v>Listed as a 2024–25 FIRST corporate/foundation contributor supporting youth STEM</x:v>
      </x:c>
      <x:c r="F57" s="17" t="str">
        <x:v>Direct partnership pitch</x:v>
      </x:c>
      <x:c r="G57" s="17" t="str">
        <x:v>$500–$5,000</x:v>
      </x:c>
      <x:c r="H57" s="20" t="n">
        <x:v>4</x:v>
      </x:c>
      <x:c r="I57" s="20" t="n">
        <x:v>2</x:v>
      </x:c>
      <x:c r="J57" s="20" t="n">
        <x:v>2</x:v>
      </x:c>
      <x:c r="K57" s="20" t="n">
        <x:f>H57*3+I57*2+J57</x:f>
        <x:v>18</x:v>
      </x:c>
      <x:c r="L57" s="17" t="str">
        <x:v>National</x:v>
      </x:c>
      <x:c r="M57" s="17" t="str">
        <x:v>Community impact, partnerships, or DevRel</x:v>
      </x:c>
      <x:c r="N57" s="17" t="str">
        <x:v>https://www.firstinspires.org/hubfs/web/about/report/annual_report_2025.pdf?hsLang=en</x:v>
      </x:c>
      <x:c r="O57" s="17" t="str">
        <x:v>Not contacted</x:v>
      </x:c>
      <x:c r="P57" s="17" t="str"/>
      <x:c r="Q57" s="17" t="str"/>
      <x:c r="R57" s="17" t="str">
        <x:v>Research named contact</x:v>
      </x:c>
      <x:c r="S57" s="17" t="str"/>
    </x:row>
    <x:row r="58" ht="54" customHeight="1">
      <x:c r="A58" s="14" t="n">
        <x:v>54</x:v>
      </x:c>
      <x:c r="B58" s="14" t="str">
        <x:f>IF(K58&gt;=24,"A",IF(K58&gt;=19,"B","C"))</x:f>
        <x:v>C</x:v>
      </x:c>
      <x:c r="C58" s="14" t="str">
        <x:v>3M</x:v>
      </x:c>
      <x:c r="D58" s="17" t="str">
        <x:v>Manufacturing / science</x:v>
      </x:c>
      <x:c r="E58" s="17" t="str">
        <x:v>Listed as a 2024–25 FIRST corporate/foundation contributor supporting youth STEM</x:v>
      </x:c>
      <x:c r="F58" s="17" t="str">
        <x:v>Direct partnership pitch</x:v>
      </x:c>
      <x:c r="G58" s="17" t="str">
        <x:v>$500–$5,000</x:v>
      </x:c>
      <x:c r="H58" s="20" t="n">
        <x:v>4</x:v>
      </x:c>
      <x:c r="I58" s="20" t="n">
        <x:v>2</x:v>
      </x:c>
      <x:c r="J58" s="20" t="n">
        <x:v>2</x:v>
      </x:c>
      <x:c r="K58" s="20" t="n">
        <x:f>H58*3+I58*2+J58</x:f>
        <x:v>18</x:v>
      </x:c>
      <x:c r="L58" s="17" t="str">
        <x:v>National</x:v>
      </x:c>
      <x:c r="M58" s="17" t="str">
        <x:v>Community impact, partnerships, or DevRel</x:v>
      </x:c>
      <x:c r="N58" s="17" t="str">
        <x:v>https://www.firstinspires.org/hubfs/web/about/report/annual_report_2025.pdf?hsLang=en</x:v>
      </x:c>
      <x:c r="O58" s="17" t="str">
        <x:v>Not contacted</x:v>
      </x:c>
      <x:c r="P58" s="17" t="str"/>
      <x:c r="Q58" s="17" t="str"/>
      <x:c r="R58" s="17" t="str">
        <x:v>Research named contact</x:v>
      </x:c>
      <x:c r="S58" s="17" t="str"/>
    </x:row>
    <x:row r="59" ht="54" customHeight="1">
      <x:c r="A59" s="14" t="n">
        <x:v>55</x:v>
      </x:c>
      <x:c r="B59" s="14" t="str">
        <x:f>IF(K59&gt;=24,"A",IF(K59&gt;=19,"B","C"))</x:f>
        <x:v>B</x:v>
      </x:c>
      <x:c r="C59" s="14" t="str">
        <x:v>Boeing</x:v>
      </x:c>
      <x:c r="D59" s="17" t="str">
        <x:v>Aerospace</x:v>
      </x:c>
      <x:c r="E59" s="17" t="str">
        <x:v>Listed as a 2024–25 FIRST corporate/foundation contributor supporting youth STEM</x:v>
      </x:c>
      <x:c r="F59" s="17" t="str">
        <x:v>Employee introduction / community-impact team</x:v>
      </x:c>
      <x:c r="G59" s="17" t="str">
        <x:v>$500–$5,000</x:v>
      </x:c>
      <x:c r="H59" s="20" t="n">
        <x:v>4</x:v>
      </x:c>
      <x:c r="I59" s="20" t="n">
        <x:v>3</x:v>
      </x:c>
      <x:c r="J59" s="20" t="n">
        <x:v>2</x:v>
      </x:c>
      <x:c r="K59" s="20" t="n">
        <x:f>H59*3+I59*2+J59</x:f>
        <x:v>20</x:v>
      </x:c>
      <x:c r="L59" s="17" t="str">
        <x:v>National</x:v>
      </x:c>
      <x:c r="M59" s="17" t="str">
        <x:v>CSR/community impact + warm employee</x:v>
      </x:c>
      <x:c r="N59" s="17" t="str">
        <x:v>https://www.firstinspires.org/hubfs/web/about/report/annual_report_2025.pdf?hsLang=en</x:v>
      </x:c>
      <x:c r="O59" s="17" t="str">
        <x:v>Not contacted</x:v>
      </x:c>
      <x:c r="P59" s="17" t="str"/>
      <x:c r="Q59" s="17" t="str"/>
      <x:c r="R59" s="17" t="str">
        <x:v>Research named contact</x:v>
      </x:c>
      <x:c r="S59" s="17" t="str"/>
    </x:row>
    <x:row r="60" ht="54" customHeight="1">
      <x:c r="A60" s="14" t="n">
        <x:v>56</x:v>
      </x:c>
      <x:c r="B60" s="14" t="str">
        <x:f>IF(K60&gt;=24,"A",IF(K60&gt;=19,"B","C"))</x:f>
        <x:v>B</x:v>
      </x:c>
      <x:c r="C60" s="14" t="str">
        <x:v>Lockheed Martin</x:v>
      </x:c>
      <x:c r="D60" s="17" t="str">
        <x:v>Aerospace / defense</x:v>
      </x:c>
      <x:c r="E60" s="17" t="str">
        <x:v>Listed as a 2024–25 FIRST corporate/foundation contributor supporting youth STEM</x:v>
      </x:c>
      <x:c r="F60" s="17" t="str">
        <x:v>Employee introduction / community-impact team</x:v>
      </x:c>
      <x:c r="G60" s="17" t="str">
        <x:v>$500–$5,000</x:v>
      </x:c>
      <x:c r="H60" s="20" t="n">
        <x:v>4</x:v>
      </x:c>
      <x:c r="I60" s="20" t="n">
        <x:v>3</x:v>
      </x:c>
      <x:c r="J60" s="20" t="n">
        <x:v>2</x:v>
      </x:c>
      <x:c r="K60" s="20" t="n">
        <x:f>H60*3+I60*2+J60</x:f>
        <x:v>20</x:v>
      </x:c>
      <x:c r="L60" s="17" t="str">
        <x:v>National</x:v>
      </x:c>
      <x:c r="M60" s="17" t="str">
        <x:v>CSR/community impact + warm employee</x:v>
      </x:c>
      <x:c r="N60" s="17" t="str">
        <x:v>https://www.firstinspires.org/hubfs/web/about/report/annual_report_2025.pdf?hsLang=en</x:v>
      </x:c>
      <x:c r="O60" s="17" t="str">
        <x:v>Not contacted</x:v>
      </x:c>
      <x:c r="P60" s="17" t="str"/>
      <x:c r="Q60" s="17" t="str"/>
      <x:c r="R60" s="17" t="str">
        <x:v>Research named contact</x:v>
      </x:c>
      <x:c r="S60" s="17" t="str"/>
    </x:row>
    <x:row r="61" ht="54" customHeight="1">
      <x:c r="A61" s="14" t="n">
        <x:v>57</x:v>
      </x:c>
      <x:c r="B61" s="14" t="str">
        <x:f>IF(K61&gt;=24,"A",IF(K61&gt;=19,"B","C"))</x:f>
        <x:v>B</x:v>
      </x:c>
      <x:c r="C61" s="14" t="str">
        <x:v>Northrop Grumman</x:v>
      </x:c>
      <x:c r="D61" s="17" t="str">
        <x:v>Aerospace / defense</x:v>
      </x:c>
      <x:c r="E61" s="17" t="str">
        <x:v>Listed as a 2024–25 FIRST corporate/foundation contributor supporting youth STEM</x:v>
      </x:c>
      <x:c r="F61" s="17" t="str">
        <x:v>Employee introduction / community-impact team</x:v>
      </x:c>
      <x:c r="G61" s="17" t="str">
        <x:v>$500–$5,000</x:v>
      </x:c>
      <x:c r="H61" s="20" t="n">
        <x:v>4</x:v>
      </x:c>
      <x:c r="I61" s="20" t="n">
        <x:v>3</x:v>
      </x:c>
      <x:c r="J61" s="20" t="n">
        <x:v>2</x:v>
      </x:c>
      <x:c r="K61" s="20" t="n">
        <x:f>H61*3+I61*2+J61</x:f>
        <x:v>20</x:v>
      </x:c>
      <x:c r="L61" s="17" t="str">
        <x:v>National</x:v>
      </x:c>
      <x:c r="M61" s="17" t="str">
        <x:v>CSR/community impact + warm employee</x:v>
      </x:c>
      <x:c r="N61" s="17" t="str">
        <x:v>https://www.firstinspires.org/hubfs/web/about/report/annual_report_2025.pdf?hsLang=en</x:v>
      </x:c>
      <x:c r="O61" s="17" t="str">
        <x:v>Not contacted</x:v>
      </x:c>
      <x:c r="P61" s="17" t="str"/>
      <x:c r="Q61" s="17" t="str"/>
      <x:c r="R61" s="17" t="str">
        <x:v>Research named contact</x:v>
      </x:c>
      <x:c r="S61" s="17" t="str"/>
    </x:row>
    <x:row r="62" ht="54" customHeight="1">
      <x:c r="A62" s="14" t="n">
        <x:v>58</x:v>
      </x:c>
      <x:c r="B62" s="14" t="str">
        <x:f>IF(K62&gt;=24,"A",IF(K62&gt;=19,"B","C"))</x:f>
        <x:v>B</x:v>
      </x:c>
      <x:c r="C62" s="14" t="str">
        <x:v>RTX</x:v>
      </x:c>
      <x:c r="D62" s="17" t="str">
        <x:v>Aerospace / defense</x:v>
      </x:c>
      <x:c r="E62" s="17" t="str">
        <x:v>Listed as a 2024–25 FIRST corporate/foundation contributor supporting youth STEM</x:v>
      </x:c>
      <x:c r="F62" s="17" t="str">
        <x:v>Employee introduction / community-impact team</x:v>
      </x:c>
      <x:c r="G62" s="17" t="str">
        <x:v>$500–$5,000</x:v>
      </x:c>
      <x:c r="H62" s="20" t="n">
        <x:v>4</x:v>
      </x:c>
      <x:c r="I62" s="20" t="n">
        <x:v>3</x:v>
      </x:c>
      <x:c r="J62" s="20" t="n">
        <x:v>2</x:v>
      </x:c>
      <x:c r="K62" s="20" t="n">
        <x:f>H62*3+I62*2+J62</x:f>
        <x:v>20</x:v>
      </x:c>
      <x:c r="L62" s="17" t="str">
        <x:v>National</x:v>
      </x:c>
      <x:c r="M62" s="17" t="str">
        <x:v>CSR/community impact + warm employee</x:v>
      </x:c>
      <x:c r="N62" s="17" t="str">
        <x:v>https://www.firstinspires.org/hubfs/web/about/report/annual_report_2025.pdf?hsLang=en</x:v>
      </x:c>
      <x:c r="O62" s="17" t="str">
        <x:v>Not contacted</x:v>
      </x:c>
      <x:c r="P62" s="17" t="str"/>
      <x:c r="Q62" s="17" t="str"/>
      <x:c r="R62" s="17" t="str">
        <x:v>Research named contact</x:v>
      </x:c>
      <x:c r="S62" s="17" t="str"/>
    </x:row>
    <x:row r="63" ht="54" customHeight="1">
      <x:c r="A63" s="14" t="n">
        <x:v>59</x:v>
      </x:c>
      <x:c r="B63" s="14" t="str">
        <x:f>IF(K63&gt;=24,"A",IF(K63&gt;=19,"B","C"))</x:f>
        <x:v>B</x:v>
      </x:c>
      <x:c r="C63" s="14" t="str">
        <x:v>BAE Systems</x:v>
      </x:c>
      <x:c r="D63" s="17" t="str">
        <x:v>Aerospace / defense</x:v>
      </x:c>
      <x:c r="E63" s="17" t="str">
        <x:v>Listed as a 2024–25 FIRST corporate/foundation contributor supporting youth STEM</x:v>
      </x:c>
      <x:c r="F63" s="17" t="str">
        <x:v>Employee introduction / community-impact team</x:v>
      </x:c>
      <x:c r="G63" s="17" t="str">
        <x:v>$500–$5,000</x:v>
      </x:c>
      <x:c r="H63" s="20" t="n">
        <x:v>4</x:v>
      </x:c>
      <x:c r="I63" s="20" t="n">
        <x:v>3</x:v>
      </x:c>
      <x:c r="J63" s="20" t="n">
        <x:v>2</x:v>
      </x:c>
      <x:c r="K63" s="20" t="n">
        <x:f>H63*3+I63*2+J63</x:f>
        <x:v>20</x:v>
      </x:c>
      <x:c r="L63" s="17" t="str">
        <x:v>National</x:v>
      </x:c>
      <x:c r="M63" s="17" t="str">
        <x:v>CSR/community impact + warm employee</x:v>
      </x:c>
      <x:c r="N63" s="17" t="str">
        <x:v>https://www.firstinspires.org/hubfs/web/about/report/annual_report_2025.pdf?hsLang=en</x:v>
      </x:c>
      <x:c r="O63" s="17" t="str">
        <x:v>Not contacted</x:v>
      </x:c>
      <x:c r="P63" s="17" t="str"/>
      <x:c r="Q63" s="17" t="str"/>
      <x:c r="R63" s="17" t="str">
        <x:v>Research named contact</x:v>
      </x:c>
      <x:c r="S63" s="17" t="str"/>
    </x:row>
    <x:row r="64" ht="54" customHeight="1">
      <x:c r="A64" s="14" t="n">
        <x:v>60</x:v>
      </x:c>
      <x:c r="B64" s="14" t="str">
        <x:f>IF(K64&gt;=24,"A",IF(K64&gt;=19,"B","C"))</x:f>
        <x:v>C</x:v>
      </x:c>
      <x:c r="C64" s="14" t="str">
        <x:v>Blue Origin</x:v>
      </x:c>
      <x:c r="D64" s="17" t="str">
        <x:v>Aerospace</x:v>
      </x:c>
      <x:c r="E64" s="17" t="str">
        <x:v>Listed as a 2024–25 FIRST corporate/foundation contributor supporting youth STEM</x:v>
      </x:c>
      <x:c r="F64" s="17" t="str">
        <x:v>Direct partnership pitch</x:v>
      </x:c>
      <x:c r="G64" s="17" t="str">
        <x:v>$500–$5,000</x:v>
      </x:c>
      <x:c r="H64" s="20" t="n">
        <x:v>4</x:v>
      </x:c>
      <x:c r="I64" s="20" t="n">
        <x:v>2</x:v>
      </x:c>
      <x:c r="J64" s="20" t="n">
        <x:v>2</x:v>
      </x:c>
      <x:c r="K64" s="20" t="n">
        <x:f>H64*3+I64*2+J64</x:f>
        <x:v>18</x:v>
      </x:c>
      <x:c r="L64" s="17" t="str">
        <x:v>National</x:v>
      </x:c>
      <x:c r="M64" s="17" t="str">
        <x:v>Community impact, partnerships, or DevRel</x:v>
      </x:c>
      <x:c r="N64" s="17" t="str">
        <x:v>https://www.firstinspires.org/hubfs/web/about/report/annual_report_2025.pdf?hsLang=en</x:v>
      </x:c>
      <x:c r="O64" s="17" t="str">
        <x:v>Not contacted</x:v>
      </x:c>
      <x:c r="P64" s="17" t="str"/>
      <x:c r="Q64" s="17" t="str"/>
      <x:c r="R64" s="17" t="str">
        <x:v>Research named contact</x:v>
      </x:c>
      <x:c r="S64" s="17" t="str"/>
    </x:row>
    <x:row r="65" ht="54" customHeight="1">
      <x:c r="A65" s="14" t="n">
        <x:v>61</x:v>
      </x:c>
      <x:c r="B65" s="14" t="str">
        <x:f>IF(K65&gt;=24,"A",IF(K65&gt;=19,"B","C"))</x:f>
        <x:v>C</x:v>
      </x:c>
      <x:c r="C65" s="14" t="str">
        <x:v>SpaceX</x:v>
      </x:c>
      <x:c r="D65" s="17" t="str">
        <x:v>Aerospace</x:v>
      </x:c>
      <x:c r="E65" s="17" t="str">
        <x:v>Listed as a 2024–25 FIRST corporate/foundation contributor supporting youth STEM</x:v>
      </x:c>
      <x:c r="F65" s="17" t="str">
        <x:v>Direct partnership pitch</x:v>
      </x:c>
      <x:c r="G65" s="17" t="str">
        <x:v>$500–$5,000</x:v>
      </x:c>
      <x:c r="H65" s="20" t="n">
        <x:v>4</x:v>
      </x:c>
      <x:c r="I65" s="20" t="n">
        <x:v>2</x:v>
      </x:c>
      <x:c r="J65" s="20" t="n">
        <x:v>2</x:v>
      </x:c>
      <x:c r="K65" s="20" t="n">
        <x:f>H65*3+I65*2+J65</x:f>
        <x:v>18</x:v>
      </x:c>
      <x:c r="L65" s="17" t="str">
        <x:v>National</x:v>
      </x:c>
      <x:c r="M65" s="17" t="str">
        <x:v>Community impact, partnerships, or DevRel</x:v>
      </x:c>
      <x:c r="N65" s="17" t="str">
        <x:v>https://www.firstinspires.org/hubfs/web/about/report/annual_report_2025.pdf?hsLang=en</x:v>
      </x:c>
      <x:c r="O65" s="17" t="str">
        <x:v>Not contacted</x:v>
      </x:c>
      <x:c r="P65" s="17" t="str"/>
      <x:c r="Q65" s="17" t="str"/>
      <x:c r="R65" s="17" t="str">
        <x:v>Research named contact</x:v>
      </x:c>
      <x:c r="S65" s="17" t="str"/>
    </x:row>
    <x:row r="66" ht="54" customHeight="1">
      <x:c r="A66" s="14" t="n">
        <x:v>62</x:v>
      </x:c>
      <x:c r="B66" s="14" t="str">
        <x:f>IF(K66&gt;=24,"A",IF(K66&gt;=19,"B","C"))</x:f>
        <x:v>C</x:v>
      </x:c>
      <x:c r="C66" s="14" t="str">
        <x:v>GE Aerospace</x:v>
      </x:c>
      <x:c r="D66" s="17" t="str">
        <x:v>Aerospace</x:v>
      </x:c>
      <x:c r="E66" s="17" t="str">
        <x:v>Listed as a 2024–25 FIRST corporate/foundation contributor supporting youth STEM</x:v>
      </x:c>
      <x:c r="F66" s="17" t="str">
        <x:v>Direct partnership pitch</x:v>
      </x:c>
      <x:c r="G66" s="17" t="str">
        <x:v>$500–$5,000</x:v>
      </x:c>
      <x:c r="H66" s="20" t="n">
        <x:v>4</x:v>
      </x:c>
      <x:c r="I66" s="20" t="n">
        <x:v>2</x:v>
      </x:c>
      <x:c r="J66" s="20" t="n">
        <x:v>2</x:v>
      </x:c>
      <x:c r="K66" s="20" t="n">
        <x:f>H66*3+I66*2+J66</x:f>
        <x:v>18</x:v>
      </x:c>
      <x:c r="L66" s="17" t="str">
        <x:v>National</x:v>
      </x:c>
      <x:c r="M66" s="17" t="str">
        <x:v>Community impact, partnerships, or DevRel</x:v>
      </x:c>
      <x:c r="N66" s="17" t="str">
        <x:v>https://www.firstinspires.org/hubfs/web/about/report/annual_report_2025.pdf?hsLang=en</x:v>
      </x:c>
      <x:c r="O66" s="17" t="str">
        <x:v>Not contacted</x:v>
      </x:c>
      <x:c r="P66" s="17" t="str"/>
      <x:c r="Q66" s="17" t="str"/>
      <x:c r="R66" s="17" t="str">
        <x:v>Research named contact</x:v>
      </x:c>
      <x:c r="S66" s="17" t="str"/>
    </x:row>
    <x:row r="67" ht="54" customHeight="1">
      <x:c r="A67" s="14" t="n">
        <x:v>63</x:v>
      </x:c>
      <x:c r="B67" s="14" t="str">
        <x:f>IF(K67&gt;=24,"A",IF(K67&gt;=19,"B","C"))</x:f>
        <x:v>C</x:v>
      </x:c>
      <x:c r="C67" s="14" t="str">
        <x:v>General Atomics</x:v>
      </x:c>
      <x:c r="D67" s="17" t="str">
        <x:v>Aerospace / engineering</x:v>
      </x:c>
      <x:c r="E67" s="17" t="str">
        <x:v>Listed as a 2024–25 FIRST corporate/foundation contributor supporting youth STEM</x:v>
      </x:c>
      <x:c r="F67" s="17" t="str">
        <x:v>Direct partnership pitch</x:v>
      </x:c>
      <x:c r="G67" s="17" t="str">
        <x:v>$500–$5,000</x:v>
      </x:c>
      <x:c r="H67" s="20" t="n">
        <x:v>4</x:v>
      </x:c>
      <x:c r="I67" s="20" t="n">
        <x:v>2</x:v>
      </x:c>
      <x:c r="J67" s="20" t="n">
        <x:v>2</x:v>
      </x:c>
      <x:c r="K67" s="20" t="n">
        <x:f>H67*3+I67*2+J67</x:f>
        <x:v>18</x:v>
      </x:c>
      <x:c r="L67" s="17" t="str">
        <x:v>National</x:v>
      </x:c>
      <x:c r="M67" s="17" t="str">
        <x:v>Community impact, partnerships, or DevRel</x:v>
      </x:c>
      <x:c r="N67" s="17" t="str">
        <x:v>https://www.firstinspires.org/hubfs/web/about/report/annual_report_2025.pdf?hsLang=en</x:v>
      </x:c>
      <x:c r="O67" s="17" t="str">
        <x:v>Not contacted</x:v>
      </x:c>
      <x:c r="P67" s="17" t="str"/>
      <x:c r="Q67" s="17" t="str"/>
      <x:c r="R67" s="17" t="str">
        <x:v>Research named contact</x:v>
      </x:c>
      <x:c r="S67" s="17" t="str"/>
    </x:row>
    <x:row r="68" ht="54" customHeight="1">
      <x:c r="A68" s="14" t="n">
        <x:v>64</x:v>
      </x:c>
      <x:c r="B68" s="14" t="str">
        <x:f>IF(K68&gt;=24,"A",IF(K68&gt;=19,"B","C"))</x:f>
        <x:v>C</x:v>
      </x:c>
      <x:c r="C68" s="14" t="str">
        <x:v>General Dynamics IT</x:v>
      </x:c>
      <x:c r="D68" s="17" t="str">
        <x:v>Technology / defense</x:v>
      </x:c>
      <x:c r="E68" s="17" t="str">
        <x:v>Listed as a 2024–25 FIRST corporate/foundation contributor supporting youth STEM</x:v>
      </x:c>
      <x:c r="F68" s="17" t="str">
        <x:v>Direct partnership pitch</x:v>
      </x:c>
      <x:c r="G68" s="17" t="str">
        <x:v>$500–$5,000</x:v>
      </x:c>
      <x:c r="H68" s="20" t="n">
        <x:v>4</x:v>
      </x:c>
      <x:c r="I68" s="20" t="n">
        <x:v>2</x:v>
      </x:c>
      <x:c r="J68" s="20" t="n">
        <x:v>2</x:v>
      </x:c>
      <x:c r="K68" s="20" t="n">
        <x:f>H68*3+I68*2+J68</x:f>
        <x:v>18</x:v>
      </x:c>
      <x:c r="L68" s="17" t="str">
        <x:v>National</x:v>
      </x:c>
      <x:c r="M68" s="17" t="str">
        <x:v>Community impact, partnerships, or DevRel</x:v>
      </x:c>
      <x:c r="N68" s="17" t="str">
        <x:v>https://www.firstinspires.org/hubfs/web/about/report/annual_report_2025.pdf?hsLang=en</x:v>
      </x:c>
      <x:c r="O68" s="17" t="str">
        <x:v>Not contacted</x:v>
      </x:c>
      <x:c r="P68" s="17" t="str"/>
      <x:c r="Q68" s="17" t="str"/>
      <x:c r="R68" s="17" t="str">
        <x:v>Research named contact</x:v>
      </x:c>
      <x:c r="S68" s="17" t="str"/>
    </x:row>
    <x:row r="69" ht="54" customHeight="1">
      <x:c r="A69" s="14" t="n">
        <x:v>65</x:v>
      </x:c>
      <x:c r="B69" s="14" t="str">
        <x:f>IF(K69&gt;=24,"A",IF(K69&gt;=19,"B","C"))</x:f>
        <x:v>C</x:v>
      </x:c>
      <x:c r="C69" s="14" t="str">
        <x:v>L3Harris Technologies</x:v>
      </x:c>
      <x:c r="D69" s="17" t="str">
        <x:v>Aerospace / communications</x:v>
      </x:c>
      <x:c r="E69" s="17" t="str">
        <x:v>Listed as a 2024–25 FIRST corporate/foundation contributor supporting youth STEM</x:v>
      </x:c>
      <x:c r="F69" s="17" t="str">
        <x:v>Direct partnership pitch</x:v>
      </x:c>
      <x:c r="G69" s="17" t="str">
        <x:v>$500–$5,000</x:v>
      </x:c>
      <x:c r="H69" s="20" t="n">
        <x:v>4</x:v>
      </x:c>
      <x:c r="I69" s="20" t="n">
        <x:v>2</x:v>
      </x:c>
      <x:c r="J69" s="20" t="n">
        <x:v>2</x:v>
      </x:c>
      <x:c r="K69" s="20" t="n">
        <x:f>H69*3+I69*2+J69</x:f>
        <x:v>18</x:v>
      </x:c>
      <x:c r="L69" s="17" t="str">
        <x:v>National</x:v>
      </x:c>
      <x:c r="M69" s="17" t="str">
        <x:v>Community impact, partnerships, or DevRel</x:v>
      </x:c>
      <x:c r="N69" s="17" t="str">
        <x:v>https://www.firstinspires.org/hubfs/web/about/report/annual_report_2025.pdf?hsLang=en</x:v>
      </x:c>
      <x:c r="O69" s="17" t="str">
        <x:v>Not contacted</x:v>
      </x:c>
      <x:c r="P69" s="17" t="str"/>
      <x:c r="Q69" s="17" t="str"/>
      <x:c r="R69" s="17" t="str">
        <x:v>Research named contact</x:v>
      </x:c>
      <x:c r="S69" s="17" t="str"/>
    </x:row>
    <x:row r="70" ht="54" customHeight="1">
      <x:c r="A70" s="14" t="n">
        <x:v>66</x:v>
      </x:c>
      <x:c r="B70" s="14" t="str">
        <x:f>IF(K70&gt;=24,"A",IF(K70&gt;=19,"B","C"))</x:f>
        <x:v>C</x:v>
      </x:c>
      <x:c r="C70" s="14" t="str">
        <x:v>Leidos</x:v>
      </x:c>
      <x:c r="D70" s="17" t="str">
        <x:v>Technology / engineering</x:v>
      </x:c>
      <x:c r="E70" s="17" t="str">
        <x:v>Listed as a 2024–25 FIRST corporate/foundation contributor supporting youth STEM</x:v>
      </x:c>
      <x:c r="F70" s="17" t="str">
        <x:v>Direct partnership pitch</x:v>
      </x:c>
      <x:c r="G70" s="17" t="str">
        <x:v>$500–$5,000</x:v>
      </x:c>
      <x:c r="H70" s="20" t="n">
        <x:v>4</x:v>
      </x:c>
      <x:c r="I70" s="20" t="n">
        <x:v>2</x:v>
      </x:c>
      <x:c r="J70" s="20" t="n">
        <x:v>2</x:v>
      </x:c>
      <x:c r="K70" s="20" t="n">
        <x:f>H70*3+I70*2+J70</x:f>
        <x:v>18</x:v>
      </x:c>
      <x:c r="L70" s="17" t="str">
        <x:v>National</x:v>
      </x:c>
      <x:c r="M70" s="17" t="str">
        <x:v>Community impact, partnerships, or DevRel</x:v>
      </x:c>
      <x:c r="N70" s="17" t="str">
        <x:v>https://www.firstinspires.org/hubfs/web/about/report/annual_report_2025.pdf?hsLang=en</x:v>
      </x:c>
      <x:c r="O70" s="17" t="str">
        <x:v>Not contacted</x:v>
      </x:c>
      <x:c r="P70" s="17" t="str"/>
      <x:c r="Q70" s="17" t="str"/>
      <x:c r="R70" s="17" t="str">
        <x:v>Research named contact</x:v>
      </x:c>
      <x:c r="S70" s="17" t="str"/>
    </x:row>
    <x:row r="71" ht="54" customHeight="1">
      <x:c r="A71" s="14" t="n">
        <x:v>67</x:v>
      </x:c>
      <x:c r="B71" s="14" t="str">
        <x:f>IF(K71&gt;=24,"A",IF(K71&gt;=19,"B","C"))</x:f>
        <x:v>C</x:v>
      </x:c>
      <x:c r="C71" s="14" t="str">
        <x:v>The Aerospace Corporation</x:v>
      </x:c>
      <x:c r="D71" s="17" t="str">
        <x:v>Aerospace research</x:v>
      </x:c>
      <x:c r="E71" s="17" t="str">
        <x:v>Listed as a 2024–25 FIRST corporate/foundation contributor supporting youth STEM</x:v>
      </x:c>
      <x:c r="F71" s="17" t="str">
        <x:v>Direct partnership pitch</x:v>
      </x:c>
      <x:c r="G71" s="17" t="str">
        <x:v>$500–$5,000</x:v>
      </x:c>
      <x:c r="H71" s="20" t="n">
        <x:v>4</x:v>
      </x:c>
      <x:c r="I71" s="20" t="n">
        <x:v>2</x:v>
      </x:c>
      <x:c r="J71" s="20" t="n">
        <x:v>2</x:v>
      </x:c>
      <x:c r="K71" s="20" t="n">
        <x:f>H71*3+I71*2+J71</x:f>
        <x:v>18</x:v>
      </x:c>
      <x:c r="L71" s="17" t="str">
        <x:v>National</x:v>
      </x:c>
      <x:c r="M71" s="17" t="str">
        <x:v>Community impact, partnerships, or DevRel</x:v>
      </x:c>
      <x:c r="N71" s="17" t="str">
        <x:v>https://www.firstinspires.org/hubfs/web/about/report/annual_report_2025.pdf?hsLang=en</x:v>
      </x:c>
      <x:c r="O71" s="17" t="str">
        <x:v>Not contacted</x:v>
      </x:c>
      <x:c r="P71" s="17" t="str"/>
      <x:c r="Q71" s="17" t="str"/>
      <x:c r="R71" s="17" t="str">
        <x:v>Research named contact</x:v>
      </x:c>
      <x:c r="S71" s="17" t="str"/>
    </x:row>
    <x:row r="72" ht="54" customHeight="1">
      <x:c r="A72" s="14" t="n">
        <x:v>68</x:v>
      </x:c>
      <x:c r="B72" s="14" t="str">
        <x:f>IF(K72&gt;=24,"A",IF(K72&gt;=19,"B","C"))</x:f>
        <x:v>B</x:v>
      </x:c>
      <x:c r="C72" s="14" t="str">
        <x:v>Ford</x:v>
      </x:c>
      <x:c r="D72" s="17" t="str">
        <x:v>Automotive</x:v>
      </x:c>
      <x:c r="E72" s="17" t="str">
        <x:v>Listed as a 2024–25 FIRST corporate/foundation contributor supporting youth STEM</x:v>
      </x:c>
      <x:c r="F72" s="17" t="str">
        <x:v>Employee introduction / community-impact team</x:v>
      </x:c>
      <x:c r="G72" s="17" t="str">
        <x:v>$500–$5,000</x:v>
      </x:c>
      <x:c r="H72" s="20" t="n">
        <x:v>4</x:v>
      </x:c>
      <x:c r="I72" s="20" t="n">
        <x:v>3</x:v>
      </x:c>
      <x:c r="J72" s="20" t="n">
        <x:v>2</x:v>
      </x:c>
      <x:c r="K72" s="20" t="n">
        <x:f>H72*3+I72*2+J72</x:f>
        <x:v>20</x:v>
      </x:c>
      <x:c r="L72" s="17" t="str">
        <x:v>National</x:v>
      </x:c>
      <x:c r="M72" s="17" t="str">
        <x:v>CSR/community impact + warm employee</x:v>
      </x:c>
      <x:c r="N72" s="17" t="str">
        <x:v>https://www.firstinspires.org/hubfs/web/about/report/annual_report_2025.pdf?hsLang=en</x:v>
      </x:c>
      <x:c r="O72" s="17" t="str">
        <x:v>Not contacted</x:v>
      </x:c>
      <x:c r="P72" s="17" t="str"/>
      <x:c r="Q72" s="17" t="str"/>
      <x:c r="R72" s="17" t="str">
        <x:v>Research named contact</x:v>
      </x:c>
      <x:c r="S72" s="17" t="str"/>
    </x:row>
    <x:row r="73" ht="54" customHeight="1">
      <x:c r="A73" s="14" t="n">
        <x:v>69</x:v>
      </x:c>
      <x:c r="B73" s="14" t="str">
        <x:f>IF(K73&gt;=24,"A",IF(K73&gt;=19,"B","C"))</x:f>
        <x:v>B</x:v>
      </x:c>
      <x:c r="C73" s="14" t="str">
        <x:v>General Motors</x:v>
      </x:c>
      <x:c r="D73" s="17" t="str">
        <x:v>Automotive</x:v>
      </x:c>
      <x:c r="E73" s="17" t="str">
        <x:v>Listed as a 2024–25 FIRST corporate/foundation contributor supporting youth STEM</x:v>
      </x:c>
      <x:c r="F73" s="17" t="str">
        <x:v>Employee introduction / community-impact team</x:v>
      </x:c>
      <x:c r="G73" s="17" t="str">
        <x:v>$500–$5,000</x:v>
      </x:c>
      <x:c r="H73" s="20" t="n">
        <x:v>4</x:v>
      </x:c>
      <x:c r="I73" s="20" t="n">
        <x:v>3</x:v>
      </x:c>
      <x:c r="J73" s="20" t="n">
        <x:v>2</x:v>
      </x:c>
      <x:c r="K73" s="20" t="n">
        <x:f>H73*3+I73*2+J73</x:f>
        <x:v>20</x:v>
      </x:c>
      <x:c r="L73" s="17" t="str">
        <x:v>National</x:v>
      </x:c>
      <x:c r="M73" s="17" t="str">
        <x:v>CSR/community impact + warm employee</x:v>
      </x:c>
      <x:c r="N73" s="17" t="str">
        <x:v>https://www.firstinspires.org/hubfs/web/about/report/annual_report_2025.pdf?hsLang=en</x:v>
      </x:c>
      <x:c r="O73" s="17" t="str">
        <x:v>Not contacted</x:v>
      </x:c>
      <x:c r="P73" s="17" t="str"/>
      <x:c r="Q73" s="17" t="str"/>
      <x:c r="R73" s="17" t="str">
        <x:v>Research named contact</x:v>
      </x:c>
      <x:c r="S73" s="17" t="str"/>
    </x:row>
    <x:row r="74" ht="54" customHeight="1">
      <x:c r="A74" s="14" t="n">
        <x:v>70</x:v>
      </x:c>
      <x:c r="B74" s="14" t="str">
        <x:f>IF(K74&gt;=24,"A",IF(K74&gt;=19,"B","C"))</x:f>
        <x:v>C</x:v>
      </x:c>
      <x:c r="C74" s="14" t="str">
        <x:v>John Deere</x:v>
      </x:c>
      <x:c r="D74" s="17" t="str">
        <x:v>Agricultural technology</x:v>
      </x:c>
      <x:c r="E74" s="17" t="str">
        <x:v>Listed as a 2024–25 FIRST corporate/foundation contributor supporting youth STEM</x:v>
      </x:c>
      <x:c r="F74" s="17" t="str">
        <x:v>Direct partnership pitch</x:v>
      </x:c>
      <x:c r="G74" s="17" t="str">
        <x:v>$500–$5,000</x:v>
      </x:c>
      <x:c r="H74" s="20" t="n">
        <x:v>4</x:v>
      </x:c>
      <x:c r="I74" s="20" t="n">
        <x:v>2</x:v>
      </x:c>
      <x:c r="J74" s="20" t="n">
        <x:v>2</x:v>
      </x:c>
      <x:c r="K74" s="20" t="n">
        <x:f>H74*3+I74*2+J74</x:f>
        <x:v>18</x:v>
      </x:c>
      <x:c r="L74" s="17" t="str">
        <x:v>National</x:v>
      </x:c>
      <x:c r="M74" s="17" t="str">
        <x:v>Community impact, partnerships, or DevRel</x:v>
      </x:c>
      <x:c r="N74" s="17" t="str">
        <x:v>https://www.firstinspires.org/hubfs/web/about/report/annual_report_2025.pdf?hsLang=en</x:v>
      </x:c>
      <x:c r="O74" s="17" t="str">
        <x:v>Not contacted</x:v>
      </x:c>
      <x:c r="P74" s="17" t="str"/>
      <x:c r="Q74" s="17" t="str"/>
      <x:c r="R74" s="17" t="str">
        <x:v>Research named contact</x:v>
      </x:c>
      <x:c r="S74" s="17" t="str"/>
    </x:row>
    <x:row r="75" ht="54" customHeight="1">
      <x:c r="A75" s="14" t="n">
        <x:v>71</x:v>
      </x:c>
      <x:c r="B75" s="14" t="str">
        <x:f>IF(K75&gt;=24,"A",IF(K75&gt;=19,"B","C"))</x:f>
        <x:v>C</x:v>
      </x:c>
      <x:c r="C75" s="14" t="str">
        <x:v>Caterpillar</x:v>
      </x:c>
      <x:c r="D75" s="17" t="str">
        <x:v>Industrial equipment</x:v>
      </x:c>
      <x:c r="E75" s="17" t="str">
        <x:v>Listed as a 2024–25 FIRST corporate/foundation contributor supporting youth STEM</x:v>
      </x:c>
      <x:c r="F75" s="17" t="str">
        <x:v>Direct partnership pitch</x:v>
      </x:c>
      <x:c r="G75" s="17" t="str">
        <x:v>$500–$5,000</x:v>
      </x:c>
      <x:c r="H75" s="20" t="n">
        <x:v>4</x:v>
      </x:c>
      <x:c r="I75" s="20" t="n">
        <x:v>2</x:v>
      </x:c>
      <x:c r="J75" s="20" t="n">
        <x:v>2</x:v>
      </x:c>
      <x:c r="K75" s="20" t="n">
        <x:f>H75*3+I75*2+J75</x:f>
        <x:v>18</x:v>
      </x:c>
      <x:c r="L75" s="17" t="str">
        <x:v>National</x:v>
      </x:c>
      <x:c r="M75" s="17" t="str">
        <x:v>Community impact, partnerships, or DevRel</x:v>
      </x:c>
      <x:c r="N75" s="17" t="str">
        <x:v>https://www.firstinspires.org/hubfs/web/about/report/annual_report_2025.pdf?hsLang=en</x:v>
      </x:c>
      <x:c r="O75" s="17" t="str">
        <x:v>Not contacted</x:v>
      </x:c>
      <x:c r="P75" s="17" t="str"/>
      <x:c r="Q75" s="17" t="str"/>
      <x:c r="R75" s="17" t="str">
        <x:v>Research named contact</x:v>
      </x:c>
      <x:c r="S75" s="17" t="str"/>
    </x:row>
    <x:row r="76" ht="54" customHeight="1">
      <x:c r="A76" s="14" t="n">
        <x:v>72</x:v>
      </x:c>
      <x:c r="B76" s="14" t="str">
        <x:f>IF(K76&gt;=24,"A",IF(K76&gt;=19,"B","C"))</x:f>
        <x:v>C</x:v>
      </x:c>
      <x:c r="C76" s="14" t="str">
        <x:v>Aptiv</x:v>
      </x:c>
      <x:c r="D76" s="17" t="str">
        <x:v>Automotive technology</x:v>
      </x:c>
      <x:c r="E76" s="17" t="str">
        <x:v>Listed as a 2024–25 FIRST corporate/foundation contributor supporting youth STEM</x:v>
      </x:c>
      <x:c r="F76" s="17" t="str">
        <x:v>Direct partnership pitch</x:v>
      </x:c>
      <x:c r="G76" s="17" t="str">
        <x:v>$500–$5,000</x:v>
      </x:c>
      <x:c r="H76" s="20" t="n">
        <x:v>4</x:v>
      </x:c>
      <x:c r="I76" s="20" t="n">
        <x:v>2</x:v>
      </x:c>
      <x:c r="J76" s="20" t="n">
        <x:v>2</x:v>
      </x:c>
      <x:c r="K76" s="20" t="n">
        <x:f>H76*3+I76*2+J76</x:f>
        <x:v>18</x:v>
      </x:c>
      <x:c r="L76" s="17" t="str">
        <x:v>National</x:v>
      </x:c>
      <x:c r="M76" s="17" t="str">
        <x:v>Community impact, partnerships, or DevRel</x:v>
      </x:c>
      <x:c r="N76" s="17" t="str">
        <x:v>https://www.firstinspires.org/hubfs/web/about/report/annual_report_2025.pdf?hsLang=en</x:v>
      </x:c>
      <x:c r="O76" s="17" t="str">
        <x:v>Not contacted</x:v>
      </x:c>
      <x:c r="P76" s="17" t="str"/>
      <x:c r="Q76" s="17" t="str"/>
      <x:c r="R76" s="17" t="str">
        <x:v>Research named contact</x:v>
      </x:c>
      <x:c r="S76" s="17" t="str"/>
    </x:row>
    <x:row r="77" ht="54" customHeight="1">
      <x:c r="A77" s="14" t="n">
        <x:v>73</x:v>
      </x:c>
      <x:c r="B77" s="14" t="str">
        <x:f>IF(K77&gt;=24,"A",IF(K77&gt;=19,"B","C"))</x:f>
        <x:v>C</x:v>
      </x:c>
      <x:c r="C77" s="14" t="str">
        <x:v>International Motors</x:v>
      </x:c>
      <x:c r="D77" s="17" t="str">
        <x:v>Transportation</x:v>
      </x:c>
      <x:c r="E77" s="17" t="str">
        <x:v>Listed as a 2024–25 FIRST corporate/foundation contributor supporting youth STEM</x:v>
      </x:c>
      <x:c r="F77" s="17" t="str">
        <x:v>Direct partnership pitch</x:v>
      </x:c>
      <x:c r="G77" s="17" t="str">
        <x:v>$500–$5,000</x:v>
      </x:c>
      <x:c r="H77" s="20" t="n">
        <x:v>4</x:v>
      </x:c>
      <x:c r="I77" s="20" t="n">
        <x:v>2</x:v>
      </x:c>
      <x:c r="J77" s="20" t="n">
        <x:v>2</x:v>
      </x:c>
      <x:c r="K77" s="20" t="n">
        <x:f>H77*3+I77*2+J77</x:f>
        <x:v>18</x:v>
      </x:c>
      <x:c r="L77" s="17" t="str">
        <x:v>National</x:v>
      </x:c>
      <x:c r="M77" s="17" t="str">
        <x:v>Community impact, partnerships, or DevRel</x:v>
      </x:c>
      <x:c r="N77" s="17" t="str">
        <x:v>https://www.firstinspires.org/hubfs/web/about/report/annual_report_2025.pdf?hsLang=en</x:v>
      </x:c>
      <x:c r="O77" s="17" t="str">
        <x:v>Not contacted</x:v>
      </x:c>
      <x:c r="P77" s="17" t="str"/>
      <x:c r="Q77" s="17" t="str"/>
      <x:c r="R77" s="17" t="str">
        <x:v>Research named contact</x:v>
      </x:c>
      <x:c r="S77" s="17" t="str"/>
    </x:row>
    <x:row r="78" ht="54" customHeight="1">
      <x:c r="A78" s="14" t="n">
        <x:v>74</x:v>
      </x:c>
      <x:c r="B78" s="14" t="str">
        <x:f>IF(K78&gt;=24,"A",IF(K78&gt;=19,"B","C"))</x:f>
        <x:v>B</x:v>
      </x:c>
      <x:c r="C78" s="14" t="str">
        <x:v>Cruise</x:v>
      </x:c>
      <x:c r="D78" s="17" t="str">
        <x:v>Autonomous vehicles</x:v>
      </x:c>
      <x:c r="E78" s="17" t="str">
        <x:v>Listed as a 2024–25 FIRST corporate/foundation contributor supporting youth STEM</x:v>
      </x:c>
      <x:c r="F78" s="17" t="str">
        <x:v>Direct partnership pitch</x:v>
      </x:c>
      <x:c r="G78" s="17" t="str">
        <x:v>$500–$5,000</x:v>
      </x:c>
      <x:c r="H78" s="20" t="n">
        <x:v>4</x:v>
      </x:c>
      <x:c r="I78" s="20" t="n">
        <x:v>2</x:v>
      </x:c>
      <x:c r="J78" s="20" t="n">
        <x:v>5</x:v>
      </x:c>
      <x:c r="K78" s="20" t="n">
        <x:f>H78*3+I78*2+J78</x:f>
        <x:v>21</x:v>
      </x:c>
      <x:c r="L78" s="17" t="str">
        <x:v>Bay Area / strong local angle</x:v>
      </x:c>
      <x:c r="M78" s="17" t="str">
        <x:v>Community impact, partnerships, or DevRel</x:v>
      </x:c>
      <x:c r="N78" s="17" t="str">
        <x:v>https://www.firstinspires.org/hubfs/web/about/report/annual_report_2025.pdf?hsLang=en</x:v>
      </x:c>
      <x:c r="O78" s="17" t="str">
        <x:v>Not contacted</x:v>
      </x:c>
      <x:c r="P78" s="17" t="str"/>
      <x:c r="Q78" s="17" t="str"/>
      <x:c r="R78" s="17" t="str">
        <x:v>Research named contact</x:v>
      </x:c>
      <x:c r="S78" s="17" t="str"/>
    </x:row>
    <x:row r="79" ht="54" customHeight="1">
      <x:c r="A79" s="14" t="n">
        <x:v>75</x:v>
      </x:c>
      <x:c r="B79" s="14" t="str">
        <x:f>IF(K79&gt;=24,"A",IF(K79&gt;=19,"B","C"))</x:f>
        <x:v>C</x:v>
      </x:c>
      <x:c r="C79" s="14" t="str">
        <x:v>Bosch</x:v>
      </x:c>
      <x:c r="D79" s="17" t="str">
        <x:v>Engineering / mobility</x:v>
      </x:c>
      <x:c r="E79" s="17" t="str">
        <x:v>Listed as a 2024–25 FIRST corporate/foundation contributor supporting youth STEM</x:v>
      </x:c>
      <x:c r="F79" s="17" t="str">
        <x:v>Direct partnership pitch</x:v>
      </x:c>
      <x:c r="G79" s="17" t="str">
        <x:v>$500–$5,000</x:v>
      </x:c>
      <x:c r="H79" s="20" t="n">
        <x:v>4</x:v>
      </x:c>
      <x:c r="I79" s="20" t="n">
        <x:v>2</x:v>
      </x:c>
      <x:c r="J79" s="20" t="n">
        <x:v>2</x:v>
      </x:c>
      <x:c r="K79" s="20" t="n">
        <x:f>H79*3+I79*2+J79</x:f>
        <x:v>18</x:v>
      </x:c>
      <x:c r="L79" s="17" t="str">
        <x:v>National</x:v>
      </x:c>
      <x:c r="M79" s="17" t="str">
        <x:v>Community impact, partnerships, or DevRel</x:v>
      </x:c>
      <x:c r="N79" s="17" t="str">
        <x:v>https://www.firstinspires.org/hubfs/web/about/report/annual_report_2025.pdf?hsLang=en</x:v>
      </x:c>
      <x:c r="O79" s="17" t="str">
        <x:v>Not contacted</x:v>
      </x:c>
      <x:c r="P79" s="17" t="str"/>
      <x:c r="Q79" s="17" t="str"/>
      <x:c r="R79" s="17" t="str">
        <x:v>Research named contact</x:v>
      </x:c>
      <x:c r="S79" s="17" t="str"/>
    </x:row>
    <x:row r="80" ht="54" customHeight="1">
      <x:c r="A80" s="14" t="n">
        <x:v>76</x:v>
      </x:c>
      <x:c r="B80" s="14" t="str">
        <x:f>IF(K80&gt;=24,"A",IF(K80&gt;=19,"B","C"))</x:f>
        <x:v>C</x:v>
      </x:c>
      <x:c r="C80" s="14" t="str">
        <x:v>Honeywell</x:v>
      </x:c>
      <x:c r="D80" s="17" t="str">
        <x:v>Industrial technology</x:v>
      </x:c>
      <x:c r="E80" s="17" t="str">
        <x:v>Listed as a 2024–25 FIRST corporate/foundation contributor supporting youth STEM</x:v>
      </x:c>
      <x:c r="F80" s="17" t="str">
        <x:v>Direct partnership pitch</x:v>
      </x:c>
      <x:c r="G80" s="17" t="str">
        <x:v>$500–$5,000</x:v>
      </x:c>
      <x:c r="H80" s="20" t="n">
        <x:v>4</x:v>
      </x:c>
      <x:c r="I80" s="20" t="n">
        <x:v>2</x:v>
      </x:c>
      <x:c r="J80" s="20" t="n">
        <x:v>2</x:v>
      </x:c>
      <x:c r="K80" s="20" t="n">
        <x:f>H80*3+I80*2+J80</x:f>
        <x:v>18</x:v>
      </x:c>
      <x:c r="L80" s="17" t="str">
        <x:v>National</x:v>
      </x:c>
      <x:c r="M80" s="17" t="str">
        <x:v>Community impact, partnerships, or DevRel</x:v>
      </x:c>
      <x:c r="N80" s="17" t="str">
        <x:v>https://www.firstinspires.org/hubfs/web/about/report/annual_report_2025.pdf?hsLang=en</x:v>
      </x:c>
      <x:c r="O80" s="17" t="str">
        <x:v>Not contacted</x:v>
      </x:c>
      <x:c r="P80" s="17" t="str"/>
      <x:c r="Q80" s="17" t="str"/>
      <x:c r="R80" s="17" t="str">
        <x:v>Research named contact</x:v>
      </x:c>
      <x:c r="S80" s="17" t="str"/>
    </x:row>
    <x:row r="81" ht="54" customHeight="1">
      <x:c r="A81" s="14" t="n">
        <x:v>77</x:v>
      </x:c>
      <x:c r="B81" s="14" t="str">
        <x:f>IF(K81&gt;=24,"A",IF(K81&gt;=19,"B","C"))</x:f>
        <x:v>C</x:v>
      </x:c>
      <x:c r="C81" s="14" t="str">
        <x:v>Carrier</x:v>
      </x:c>
      <x:c r="D81" s="17" t="str">
        <x:v>Building technology</x:v>
      </x:c>
      <x:c r="E81" s="17" t="str">
        <x:v>Listed as a 2024–25 FIRST corporate/foundation contributor supporting youth STEM</x:v>
      </x:c>
      <x:c r="F81" s="17" t="str">
        <x:v>Direct partnership pitch</x:v>
      </x:c>
      <x:c r="G81" s="17" t="str">
        <x:v>$500–$5,000</x:v>
      </x:c>
      <x:c r="H81" s="20" t="n">
        <x:v>4</x:v>
      </x:c>
      <x:c r="I81" s="20" t="n">
        <x:v>2</x:v>
      </x:c>
      <x:c r="J81" s="20" t="n">
        <x:v>2</x:v>
      </x:c>
      <x:c r="K81" s="20" t="n">
        <x:f>H81*3+I81*2+J81</x:f>
        <x:v>18</x:v>
      </x:c>
      <x:c r="L81" s="17" t="str">
        <x:v>National</x:v>
      </x:c>
      <x:c r="M81" s="17" t="str">
        <x:v>Community impact, partnerships, or DevRel</x:v>
      </x:c>
      <x:c r="N81" s="17" t="str">
        <x:v>https://www.firstinspires.org/hubfs/web/about/report/annual_report_2025.pdf?hsLang=en</x:v>
      </x:c>
      <x:c r="O81" s="17" t="str">
        <x:v>Not contacted</x:v>
      </x:c>
      <x:c r="P81" s="17" t="str"/>
      <x:c r="Q81" s="17" t="str"/>
      <x:c r="R81" s="17" t="str">
        <x:v>Research named contact</x:v>
      </x:c>
      <x:c r="S81" s="17" t="str"/>
    </x:row>
    <x:row r="82" ht="54" customHeight="1">
      <x:c r="A82" s="14" t="n">
        <x:v>78</x:v>
      </x:c>
      <x:c r="B82" s="14" t="str">
        <x:f>IF(K82&gt;=24,"A",IF(K82&gt;=19,"B","C"))</x:f>
        <x:v>C</x:v>
      </x:c>
      <x:c r="C82" s="14" t="str">
        <x:v>Johnson Controls</x:v>
      </x:c>
      <x:c r="D82" s="17" t="str">
        <x:v>Building technology</x:v>
      </x:c>
      <x:c r="E82" s="17" t="str">
        <x:v>Listed as a 2024–25 FIRST corporate/foundation contributor supporting youth STEM</x:v>
      </x:c>
      <x:c r="F82" s="17" t="str">
        <x:v>Direct partnership pitch</x:v>
      </x:c>
      <x:c r="G82" s="17" t="str">
        <x:v>$500–$5,000</x:v>
      </x:c>
      <x:c r="H82" s="20" t="n">
        <x:v>4</x:v>
      </x:c>
      <x:c r="I82" s="20" t="n">
        <x:v>2</x:v>
      </x:c>
      <x:c r="J82" s="20" t="n">
        <x:v>2</x:v>
      </x:c>
      <x:c r="K82" s="20" t="n">
        <x:f>H82*3+I82*2+J82</x:f>
        <x:v>18</x:v>
      </x:c>
      <x:c r="L82" s="17" t="str">
        <x:v>National</x:v>
      </x:c>
      <x:c r="M82" s="17" t="str">
        <x:v>Community impact, partnerships, or DevRel</x:v>
      </x:c>
      <x:c r="N82" s="17" t="str">
        <x:v>https://www.firstinspires.org/hubfs/web/about/report/annual_report_2025.pdf?hsLang=en</x:v>
      </x:c>
      <x:c r="O82" s="17" t="str">
        <x:v>Not contacted</x:v>
      </x:c>
      <x:c r="P82" s="17" t="str"/>
      <x:c r="Q82" s="17" t="str"/>
      <x:c r="R82" s="17" t="str">
        <x:v>Research named contact</x:v>
      </x:c>
      <x:c r="S82" s="17" t="str"/>
    </x:row>
    <x:row r="83" ht="54" customHeight="1">
      <x:c r="A83" s="14" t="n">
        <x:v>79</x:v>
      </x:c>
      <x:c r="B83" s="14" t="str">
        <x:f>IF(K83&gt;=24,"A",IF(K83&gt;=19,"B","C"))</x:f>
        <x:v>C</x:v>
      </x:c>
      <x:c r="C83" s="14" t="str">
        <x:v>Emerson</x:v>
      </x:c>
      <x:c r="D83" s="17" t="str">
        <x:v>Industrial technology</x:v>
      </x:c>
      <x:c r="E83" s="17" t="str">
        <x:v>Listed as a 2024–25 FIRST corporate/foundation contributor supporting youth STEM</x:v>
      </x:c>
      <x:c r="F83" s="17" t="str">
        <x:v>Direct partnership pitch</x:v>
      </x:c>
      <x:c r="G83" s="17" t="str">
        <x:v>$500–$5,000</x:v>
      </x:c>
      <x:c r="H83" s="20" t="n">
        <x:v>4</x:v>
      </x:c>
      <x:c r="I83" s="20" t="n">
        <x:v>2</x:v>
      </x:c>
      <x:c r="J83" s="20" t="n">
        <x:v>2</x:v>
      </x:c>
      <x:c r="K83" s="20" t="n">
        <x:f>H83*3+I83*2+J83</x:f>
        <x:v>18</x:v>
      </x:c>
      <x:c r="L83" s="17" t="str">
        <x:v>National</x:v>
      </x:c>
      <x:c r="M83" s="17" t="str">
        <x:v>Community impact, partnerships, or DevRel</x:v>
      </x:c>
      <x:c r="N83" s="17" t="str">
        <x:v>https://www.firstinspires.org/hubfs/web/about/report/annual_report_2025.pdf?hsLang=en</x:v>
      </x:c>
      <x:c r="O83" s="17" t="str">
        <x:v>Not contacted</x:v>
      </x:c>
      <x:c r="P83" s="17" t="str"/>
      <x:c r="Q83" s="17" t="str"/>
      <x:c r="R83" s="17" t="str">
        <x:v>Research named contact</x:v>
      </x:c>
      <x:c r="S83" s="17" t="str"/>
    </x:row>
    <x:row r="84" ht="54" customHeight="1">
      <x:c r="A84" s="14" t="n">
        <x:v>80</x:v>
      </x:c>
      <x:c r="B84" s="14" t="str">
        <x:f>IF(K84&gt;=24,"A",IF(K84&gt;=19,"B","C"))</x:f>
        <x:v>C</x:v>
      </x:c>
      <x:c r="C84" s="14" t="str">
        <x:v>Bechtel</x:v>
      </x:c>
      <x:c r="D84" s="17" t="str">
        <x:v>Engineering / construction</x:v>
      </x:c>
      <x:c r="E84" s="17" t="str">
        <x:v>Listed as a 2024–25 FIRST corporate/foundation contributor supporting youth STEM</x:v>
      </x:c>
      <x:c r="F84" s="17" t="str">
        <x:v>Direct partnership pitch</x:v>
      </x:c>
      <x:c r="G84" s="17" t="str">
        <x:v>$500–$5,000</x:v>
      </x:c>
      <x:c r="H84" s="20" t="n">
        <x:v>4</x:v>
      </x:c>
      <x:c r="I84" s="20" t="n">
        <x:v>2</x:v>
      </x:c>
      <x:c r="J84" s="20" t="n">
        <x:v>2</x:v>
      </x:c>
      <x:c r="K84" s="20" t="n">
        <x:f>H84*3+I84*2+J84</x:f>
        <x:v>18</x:v>
      </x:c>
      <x:c r="L84" s="17" t="str">
        <x:v>National</x:v>
      </x:c>
      <x:c r="M84" s="17" t="str">
        <x:v>Community impact, partnerships, or DevRel</x:v>
      </x:c>
      <x:c r="N84" s="17" t="str">
        <x:v>https://www.firstinspires.org/hubfs/web/about/report/annual_report_2025.pdf?hsLang=en</x:v>
      </x:c>
      <x:c r="O84" s="17" t="str">
        <x:v>Not contacted</x:v>
      </x:c>
      <x:c r="P84" s="17" t="str"/>
      <x:c r="Q84" s="17" t="str"/>
      <x:c r="R84" s="17" t="str">
        <x:v>Research named contact</x:v>
      </x:c>
      <x:c r="S84" s="17" t="str"/>
    </x:row>
    <x:row r="85" ht="54" customHeight="1">
      <x:c r="A85" s="14" t="n">
        <x:v>81</x:v>
      </x:c>
      <x:c r="B85" s="14" t="str">
        <x:f>IF(K85&gt;=24,"A",IF(K85&gt;=19,"B","C"))</x:f>
        <x:v>C</x:v>
      </x:c>
      <x:c r="C85" s="14" t="str">
        <x:v>AECOM</x:v>
      </x:c>
      <x:c r="D85" s="17" t="str">
        <x:v>Engineering / infrastructure</x:v>
      </x:c>
      <x:c r="E85" s="17" t="str">
        <x:v>Listed as a 2024–25 FIRST corporate/foundation contributor supporting youth STEM</x:v>
      </x:c>
      <x:c r="F85" s="17" t="str">
        <x:v>Direct partnership pitch</x:v>
      </x:c>
      <x:c r="G85" s="17" t="str">
        <x:v>$500–$5,000</x:v>
      </x:c>
      <x:c r="H85" s="20" t="n">
        <x:v>4</x:v>
      </x:c>
      <x:c r="I85" s="20" t="n">
        <x:v>2</x:v>
      </x:c>
      <x:c r="J85" s="20" t="n">
        <x:v>2</x:v>
      </x:c>
      <x:c r="K85" s="20" t="n">
        <x:f>H85*3+I85*2+J85</x:f>
        <x:v>18</x:v>
      </x:c>
      <x:c r="L85" s="17" t="str">
        <x:v>National</x:v>
      </x:c>
      <x:c r="M85" s="17" t="str">
        <x:v>Community impact, partnerships, or DevRel</x:v>
      </x:c>
      <x:c r="N85" s="17" t="str">
        <x:v>https://www.firstinspires.org/hubfs/web/about/report/annual_report_2025.pdf?hsLang=en</x:v>
      </x:c>
      <x:c r="O85" s="17" t="str">
        <x:v>Not contacted</x:v>
      </x:c>
      <x:c r="P85" s="17" t="str"/>
      <x:c r="Q85" s="17" t="str"/>
      <x:c r="R85" s="17" t="str">
        <x:v>Research named contact</x:v>
      </x:c>
      <x:c r="S85" s="17" t="str"/>
    </x:row>
    <x:row r="86" ht="54" customHeight="1">
      <x:c r="A86" s="14" t="n">
        <x:v>82</x:v>
      </x:c>
      <x:c r="B86" s="14" t="str">
        <x:f>IF(K86&gt;=24,"A",IF(K86&gt;=19,"B","C"))</x:f>
        <x:v>B</x:v>
      </x:c>
      <x:c r="C86" s="14" t="str">
        <x:v>Chevron</x:v>
      </x:c>
      <x:c r="D86" s="17" t="str">
        <x:v>Energy</x:v>
      </x:c>
      <x:c r="E86" s="17" t="str">
        <x:v>Listed as a 2024–25 FIRST corporate/foundation contributor supporting youth STEM</x:v>
      </x:c>
      <x:c r="F86" s="17" t="str">
        <x:v>Employee introduction / community-impact team</x:v>
      </x:c>
      <x:c r="G86" s="17" t="str">
        <x:v>$500–$5,000</x:v>
      </x:c>
      <x:c r="H86" s="20" t="n">
        <x:v>4</x:v>
      </x:c>
      <x:c r="I86" s="20" t="n">
        <x:v>3</x:v>
      </x:c>
      <x:c r="J86" s="20" t="n">
        <x:v>5</x:v>
      </x:c>
      <x:c r="K86" s="20" t="n">
        <x:f>H86*3+I86*2+J86</x:f>
        <x:v>23</x:v>
      </x:c>
      <x:c r="L86" s="17" t="str">
        <x:v>Bay Area / strong local angle</x:v>
      </x:c>
      <x:c r="M86" s="17" t="str">
        <x:v>CSR/community impact + warm employee</x:v>
      </x:c>
      <x:c r="N86" s="17" t="str">
        <x:v>https://www.firstinspires.org/hubfs/web/about/report/annual_report_2025.pdf?hsLang=en</x:v>
      </x:c>
      <x:c r="O86" s="17" t="str">
        <x:v>Not contacted</x:v>
      </x:c>
      <x:c r="P86" s="17" t="str"/>
      <x:c r="Q86" s="17" t="str"/>
      <x:c r="R86" s="17" t="str">
        <x:v>Research named contact</x:v>
      </x:c>
      <x:c r="S86" s="17" t="str"/>
    </x:row>
    <x:row r="87" ht="54" customHeight="1">
      <x:c r="A87" s="14" t="n">
        <x:v>83</x:v>
      </x:c>
      <x:c r="B87" s="14" t="str">
        <x:f>IF(K87&gt;=24,"A",IF(K87&gt;=19,"B","C"))</x:f>
        <x:v>B</x:v>
      </x:c>
      <x:c r="C87" s="14" t="str">
        <x:v>PG&amp;E</x:v>
      </x:c>
      <x:c r="D87" s="17" t="str">
        <x:v>Energy / utility</x:v>
      </x:c>
      <x:c r="E87" s="17" t="str">
        <x:v>Listed as a 2024–25 FIRST corporate/foundation contributor supporting youth STEM</x:v>
      </x:c>
      <x:c r="F87" s="17" t="str">
        <x:v>Employee introduction / community-impact team</x:v>
      </x:c>
      <x:c r="G87" s="17" t="str">
        <x:v>$500–$5,000</x:v>
      </x:c>
      <x:c r="H87" s="20" t="n">
        <x:v>4</x:v>
      </x:c>
      <x:c r="I87" s="20" t="n">
        <x:v>3</x:v>
      </x:c>
      <x:c r="J87" s="20" t="n">
        <x:v>5</x:v>
      </x:c>
      <x:c r="K87" s="20" t="n">
        <x:f>H87*3+I87*2+J87</x:f>
        <x:v>23</x:v>
      </x:c>
      <x:c r="L87" s="17" t="str">
        <x:v>Bay Area / strong local angle</x:v>
      </x:c>
      <x:c r="M87" s="17" t="str">
        <x:v>CSR/community impact + warm employee</x:v>
      </x:c>
      <x:c r="N87" s="17" t="str">
        <x:v>https://www.firstinspires.org/hubfs/web/about/report/annual_report_2025.pdf?hsLang=en</x:v>
      </x:c>
      <x:c r="O87" s="17" t="str">
        <x:v>Not contacted</x:v>
      </x:c>
      <x:c r="P87" s="17" t="str"/>
      <x:c r="Q87" s="17" t="str"/>
      <x:c r="R87" s="17" t="str">
        <x:v>Research named contact</x:v>
      </x:c>
      <x:c r="S87" s="17" t="str"/>
    </x:row>
    <x:row r="88" ht="54" customHeight="1">
      <x:c r="A88" s="14" t="n">
        <x:v>84</x:v>
      </x:c>
      <x:c r="B88" s="14" t="str">
        <x:f>IF(K88&gt;=24,"A",IF(K88&gt;=19,"B","C"))</x:f>
        <x:v>C</x:v>
      </x:c>
      <x:c r="C88" s="14" t="str">
        <x:v>NextEra Energy</x:v>
      </x:c>
      <x:c r="D88" s="17" t="str">
        <x:v>Energy / utility</x:v>
      </x:c>
      <x:c r="E88" s="17" t="str">
        <x:v>Listed as a 2024–25 FIRST corporate/foundation contributor supporting youth STEM</x:v>
      </x:c>
      <x:c r="F88" s="17" t="str">
        <x:v>Direct partnership pitch</x:v>
      </x:c>
      <x:c r="G88" s="17" t="str">
        <x:v>$500–$5,000</x:v>
      </x:c>
      <x:c r="H88" s="20" t="n">
        <x:v>4</x:v>
      </x:c>
      <x:c r="I88" s="20" t="n">
        <x:v>2</x:v>
      </x:c>
      <x:c r="J88" s="20" t="n">
        <x:v>2</x:v>
      </x:c>
      <x:c r="K88" s="20" t="n">
        <x:f>H88*3+I88*2+J88</x:f>
        <x:v>18</x:v>
      </x:c>
      <x:c r="L88" s="17" t="str">
        <x:v>National</x:v>
      </x:c>
      <x:c r="M88" s="17" t="str">
        <x:v>Community impact, partnerships, or DevRel</x:v>
      </x:c>
      <x:c r="N88" s="17" t="str">
        <x:v>https://www.firstinspires.org/hubfs/web/about/report/annual_report_2025.pdf?hsLang=en</x:v>
      </x:c>
      <x:c r="O88" s="17" t="str">
        <x:v>Not contacted</x:v>
      </x:c>
      <x:c r="P88" s="17" t="str"/>
      <x:c r="Q88" s="17" t="str"/>
      <x:c r="R88" s="17" t="str">
        <x:v>Research named contact</x:v>
      </x:c>
      <x:c r="S88" s="17" t="str"/>
    </x:row>
    <x:row r="89" ht="54" customHeight="1">
      <x:c r="A89" s="14" t="n">
        <x:v>85</x:v>
      </x:c>
      <x:c r="B89" s="14" t="str">
        <x:f>IF(K89&gt;=24,"A",IF(K89&gt;=19,"B","C"))</x:f>
        <x:v>C</x:v>
      </x:c>
      <x:c r="C89" s="14" t="str">
        <x:v>DTE Energy</x:v>
      </x:c>
      <x:c r="D89" s="17" t="str">
        <x:v>Energy / utility</x:v>
      </x:c>
      <x:c r="E89" s="17" t="str">
        <x:v>Listed as a 2024–25 FIRST corporate/foundation contributor supporting youth STEM</x:v>
      </x:c>
      <x:c r="F89" s="17" t="str">
        <x:v>Direct partnership pitch</x:v>
      </x:c>
      <x:c r="G89" s="17" t="str">
        <x:v>$500–$5,000</x:v>
      </x:c>
      <x:c r="H89" s="20" t="n">
        <x:v>4</x:v>
      </x:c>
      <x:c r="I89" s="20" t="n">
        <x:v>2</x:v>
      </x:c>
      <x:c r="J89" s="20" t="n">
        <x:v>2</x:v>
      </x:c>
      <x:c r="K89" s="20" t="n">
        <x:f>H89*3+I89*2+J89</x:f>
        <x:v>18</x:v>
      </x:c>
      <x:c r="L89" s="17" t="str">
        <x:v>National</x:v>
      </x:c>
      <x:c r="M89" s="17" t="str">
        <x:v>Community impact, partnerships, or DevRel</x:v>
      </x:c>
      <x:c r="N89" s="17" t="str">
        <x:v>https://www.firstinspires.org/hubfs/web/about/report/annual_report_2025.pdf?hsLang=en</x:v>
      </x:c>
      <x:c r="O89" s="17" t="str">
        <x:v>Not contacted</x:v>
      </x:c>
      <x:c r="P89" s="17" t="str"/>
      <x:c r="Q89" s="17" t="str"/>
      <x:c r="R89" s="17" t="str">
        <x:v>Research named contact</x:v>
      </x:c>
      <x:c r="S89" s="17" t="str"/>
    </x:row>
    <x:row r="90" ht="54" customHeight="1">
      <x:c r="A90" s="14" t="n">
        <x:v>86</x:v>
      </x:c>
      <x:c r="B90" s="14" t="str">
        <x:f>IF(K90&gt;=24,"A",IF(K90&gt;=19,"B","C"))</x:f>
        <x:v>C</x:v>
      </x:c>
      <x:c r="C90" s="14" t="str">
        <x:v>Xcel Energy</x:v>
      </x:c>
      <x:c r="D90" s="17" t="str">
        <x:v>Energy / utility</x:v>
      </x:c>
      <x:c r="E90" s="17" t="str">
        <x:v>Listed as a 2024–25 FIRST corporate/foundation contributor supporting youth STEM</x:v>
      </x:c>
      <x:c r="F90" s="17" t="str">
        <x:v>Direct partnership pitch</x:v>
      </x:c>
      <x:c r="G90" s="17" t="str">
        <x:v>$500–$5,000</x:v>
      </x:c>
      <x:c r="H90" s="20" t="n">
        <x:v>4</x:v>
      </x:c>
      <x:c r="I90" s="20" t="n">
        <x:v>2</x:v>
      </x:c>
      <x:c r="J90" s="20" t="n">
        <x:v>2</x:v>
      </x:c>
      <x:c r="K90" s="20" t="n">
        <x:f>H90*3+I90*2+J90</x:f>
        <x:v>18</x:v>
      </x:c>
      <x:c r="L90" s="17" t="str">
        <x:v>National</x:v>
      </x:c>
      <x:c r="M90" s="17" t="str">
        <x:v>Community impact, partnerships, or DevRel</x:v>
      </x:c>
      <x:c r="N90" s="17" t="str">
        <x:v>https://www.firstinspires.org/hubfs/web/about/report/annual_report_2025.pdf?hsLang=en</x:v>
      </x:c>
      <x:c r="O90" s="17" t="str">
        <x:v>Not contacted</x:v>
      </x:c>
      <x:c r="P90" s="17" t="str"/>
      <x:c r="Q90" s="17" t="str"/>
      <x:c r="R90" s="17" t="str">
        <x:v>Research named contact</x:v>
      </x:c>
      <x:c r="S90" s="17" t="str"/>
    </x:row>
    <x:row r="91" ht="54" customHeight="1">
      <x:c r="A91" s="14" t="n">
        <x:v>87</x:v>
      </x:c>
      <x:c r="B91" s="14" t="str">
        <x:f>IF(K91&gt;=24,"A",IF(K91&gt;=19,"B","C"))</x:f>
        <x:v>B</x:v>
      </x:c>
      <x:c r="C91" s="14" t="str">
        <x:v>Comcast NBCUniversal</x:v>
      </x:c>
      <x:c r="D91" s="17" t="str">
        <x:v>Media / connectivity</x:v>
      </x:c>
      <x:c r="E91" s="17" t="str">
        <x:v>Listed as a 2024–25 FIRST corporate/foundation contributor supporting youth STEM</x:v>
      </x:c>
      <x:c r="F91" s="17" t="str">
        <x:v>Employee introduction / community-impact team</x:v>
      </x:c>
      <x:c r="G91" s="17" t="str">
        <x:v>$500–$5,000</x:v>
      </x:c>
      <x:c r="H91" s="20" t="n">
        <x:v>4</x:v>
      </x:c>
      <x:c r="I91" s="20" t="n">
        <x:v>3</x:v>
      </x:c>
      <x:c r="J91" s="20" t="n">
        <x:v>2</x:v>
      </x:c>
      <x:c r="K91" s="20" t="n">
        <x:f>H91*3+I91*2+J91</x:f>
        <x:v>20</x:v>
      </x:c>
      <x:c r="L91" s="17" t="str">
        <x:v>National</x:v>
      </x:c>
      <x:c r="M91" s="17" t="str">
        <x:v>CSR/community impact + warm employee</x:v>
      </x:c>
      <x:c r="N91" s="17" t="str">
        <x:v>https://www.firstinspires.org/hubfs/web/about/report/annual_report_2025.pdf?hsLang=en</x:v>
      </x:c>
      <x:c r="O91" s="17" t="str">
        <x:v>Not contacted</x:v>
      </x:c>
      <x:c r="P91" s="17" t="str"/>
      <x:c r="Q91" s="17" t="str"/>
      <x:c r="R91" s="17" t="str">
        <x:v>Research named contact</x:v>
      </x:c>
      <x:c r="S91" s="17" t="str"/>
    </x:row>
    <x:row r="92" ht="54" customHeight="1">
      <x:c r="A92" s="14" t="n">
        <x:v>88</x:v>
      </x:c>
      <x:c r="B92" s="14" t="str">
        <x:f>IF(K92&gt;=24,"A",IF(K92&gt;=19,"B","C"))</x:f>
        <x:v>B</x:v>
      </x:c>
      <x:c r="C92" s="14" t="str">
        <x:v>Verizon</x:v>
      </x:c>
      <x:c r="D92" s="17" t="str">
        <x:v>Telecommunications</x:v>
      </x:c>
      <x:c r="E92" s="17" t="str">
        <x:v>Listed as a 2024–25 FIRST corporate/foundation contributor supporting youth STEM</x:v>
      </x:c>
      <x:c r="F92" s="17" t="str">
        <x:v>Employee introduction / community-impact team</x:v>
      </x:c>
      <x:c r="G92" s="17" t="str">
        <x:v>$500–$5,000</x:v>
      </x:c>
      <x:c r="H92" s="20" t="n">
        <x:v>4</x:v>
      </x:c>
      <x:c r="I92" s="20" t="n">
        <x:v>3</x:v>
      </x:c>
      <x:c r="J92" s="20" t="n">
        <x:v>2</x:v>
      </x:c>
      <x:c r="K92" s="20" t="n">
        <x:f>H92*3+I92*2+J92</x:f>
        <x:v>20</x:v>
      </x:c>
      <x:c r="L92" s="17" t="str">
        <x:v>National</x:v>
      </x:c>
      <x:c r="M92" s="17" t="str">
        <x:v>CSR/community impact + warm employee</x:v>
      </x:c>
      <x:c r="N92" s="17" t="str">
        <x:v>https://www.firstinspires.org/hubfs/web/about/report/annual_report_2025.pdf?hsLang=en</x:v>
      </x:c>
      <x:c r="O92" s="17" t="str">
        <x:v>Not contacted</x:v>
      </x:c>
      <x:c r="P92" s="17" t="str"/>
      <x:c r="Q92" s="17" t="str"/>
      <x:c r="R92" s="17" t="str">
        <x:v>Research named contact</x:v>
      </x:c>
      <x:c r="S92" s="17" t="str"/>
    </x:row>
    <x:row r="93" ht="54" customHeight="1">
      <x:c r="A93" s="14" t="n">
        <x:v>89</x:v>
      </x:c>
      <x:c r="B93" s="14" t="str">
        <x:f>IF(K93&gt;=24,"A",IF(K93&gt;=19,"B","C"))</x:f>
        <x:v>B</x:v>
      </x:c>
      <x:c r="C93" s="14" t="str">
        <x:v>AT&amp;T</x:v>
      </x:c>
      <x:c r="D93" s="17" t="str">
        <x:v>Telecommunications</x:v>
      </x:c>
      <x:c r="E93" s="17" t="str">
        <x:v>Listed as a 2024–25 FIRST corporate/foundation contributor supporting youth STEM</x:v>
      </x:c>
      <x:c r="F93" s="17" t="str">
        <x:v>Employee introduction / community-impact team</x:v>
      </x:c>
      <x:c r="G93" s="17" t="str">
        <x:v>$500–$5,000</x:v>
      </x:c>
      <x:c r="H93" s="20" t="n">
        <x:v>4</x:v>
      </x:c>
      <x:c r="I93" s="20" t="n">
        <x:v>3</x:v>
      </x:c>
      <x:c r="J93" s="20" t="n">
        <x:v>2</x:v>
      </x:c>
      <x:c r="K93" s="20" t="n">
        <x:f>H93*3+I93*2+J93</x:f>
        <x:v>20</x:v>
      </x:c>
      <x:c r="L93" s="17" t="str">
        <x:v>National</x:v>
      </x:c>
      <x:c r="M93" s="17" t="str">
        <x:v>CSR/community impact + warm employee</x:v>
      </x:c>
      <x:c r="N93" s="17" t="str">
        <x:v>https://www.firstinspires.org/hubfs/web/about/report/annual_report_2025.pdf?hsLang=en</x:v>
      </x:c>
      <x:c r="O93" s="17" t="str">
        <x:v>Not contacted</x:v>
      </x:c>
      <x:c r="P93" s="17" t="str"/>
      <x:c r="Q93" s="17" t="str"/>
      <x:c r="R93" s="17" t="str">
        <x:v>Research named contact</x:v>
      </x:c>
      <x:c r="S93" s="17" t="str"/>
    </x:row>
    <x:row r="94" ht="54" customHeight="1">
      <x:c r="A94" s="14" t="n">
        <x:v>90</x:v>
      </x:c>
      <x:c r="B94" s="14" t="str">
        <x:f>IF(K94&gt;=24,"A",IF(K94&gt;=19,"B","C"))</x:f>
        <x:v>C</x:v>
      </x:c>
      <x:c r="C94" s="14" t="str">
        <x:v>Twitch</x:v>
      </x:c>
      <x:c r="D94" s="17" t="str">
        <x:v>Creator / technology</x:v>
      </x:c>
      <x:c r="E94" s="17" t="str">
        <x:v>Listed as a 2024–25 FIRST corporate/foundation contributor supporting youth STEM</x:v>
      </x:c>
      <x:c r="F94" s="17" t="str">
        <x:v>Direct partnership pitch</x:v>
      </x:c>
      <x:c r="G94" s="17" t="str">
        <x:v>$500–$5,000</x:v>
      </x:c>
      <x:c r="H94" s="20" t="n">
        <x:v>4</x:v>
      </x:c>
      <x:c r="I94" s="20" t="n">
        <x:v>2</x:v>
      </x:c>
      <x:c r="J94" s="20" t="n">
        <x:v>2</x:v>
      </x:c>
      <x:c r="K94" s="20" t="n">
        <x:f>H94*3+I94*2+J94</x:f>
        <x:v>18</x:v>
      </x:c>
      <x:c r="L94" s="17" t="str">
        <x:v>National</x:v>
      </x:c>
      <x:c r="M94" s="17" t="str">
        <x:v>Community impact, partnerships, or DevRel</x:v>
      </x:c>
      <x:c r="N94" s="17" t="str">
        <x:v>https://www.firstinspires.org/hubfs/web/about/report/annual_report_2025.pdf?hsLang=en</x:v>
      </x:c>
      <x:c r="O94" s="17" t="str">
        <x:v>Not contacted</x:v>
      </x:c>
      <x:c r="P94" s="17" t="str"/>
      <x:c r="Q94" s="17" t="str"/>
      <x:c r="R94" s="17" t="str">
        <x:v>Research named contact</x:v>
      </x:c>
      <x:c r="S94" s="17" t="str"/>
    </x:row>
    <x:row r="95" ht="54" customHeight="1">
      <x:c r="A95" s="14" t="n">
        <x:v>91</x:v>
      </x:c>
      <x:c r="B95" s="14" t="str">
        <x:f>IF(K95&gt;=24,"A",IF(K95&gt;=19,"B","C"))</x:f>
        <x:v>C</x:v>
      </x:c>
      <x:c r="C95" s="14" t="str">
        <x:v>Disney</x:v>
      </x:c>
      <x:c r="D95" s="17" t="str">
        <x:v>Media / technology</x:v>
      </x:c>
      <x:c r="E95" s="17" t="str">
        <x:v>Listed as a 2024–25 FIRST corporate/foundation contributor supporting youth STEM</x:v>
      </x:c>
      <x:c r="F95" s="17" t="str">
        <x:v>Direct partnership pitch</x:v>
      </x:c>
      <x:c r="G95" s="17" t="str">
        <x:v>$500–$5,000</x:v>
      </x:c>
      <x:c r="H95" s="20" t="n">
        <x:v>4</x:v>
      </x:c>
      <x:c r="I95" s="20" t="n">
        <x:v>2</x:v>
      </x:c>
      <x:c r="J95" s="20" t="n">
        <x:v>2</x:v>
      </x:c>
      <x:c r="K95" s="20" t="n">
        <x:f>H95*3+I95*2+J95</x:f>
        <x:v>18</x:v>
      </x:c>
      <x:c r="L95" s="17" t="str">
        <x:v>National</x:v>
      </x:c>
      <x:c r="M95" s="17" t="str">
        <x:v>Community impact, partnerships, or DevRel</x:v>
      </x:c>
      <x:c r="N95" s="17" t="str">
        <x:v>https://www.firstinspires.org/hubfs/web/about/report/annual_report_2025.pdf?hsLang=en</x:v>
      </x:c>
      <x:c r="O95" s="17" t="str">
        <x:v>Not contacted</x:v>
      </x:c>
      <x:c r="P95" s="17" t="str"/>
      <x:c r="Q95" s="17" t="str"/>
      <x:c r="R95" s="17" t="str">
        <x:v>Research named contact</x:v>
      </x:c>
      <x:c r="S95" s="17" t="str"/>
    </x:row>
    <x:row r="96" ht="54" customHeight="1">
      <x:c r="A96" s="14" t="n">
        <x:v>92</x:v>
      </x:c>
      <x:c r="B96" s="14" t="str">
        <x:f>IF(K96&gt;=24,"A",IF(K96&gt;=19,"B","C"))</x:f>
        <x:v>C</x:v>
      </x:c>
      <x:c r="C96" s="14" t="str">
        <x:v>Coca-Cola</x:v>
      </x:c>
      <x:c r="D96" s="17" t="str">
        <x:v>Consumer products</x:v>
      </x:c>
      <x:c r="E96" s="17" t="str">
        <x:v>Listed as a 2024–25 FIRST corporate/foundation contributor supporting youth STEM</x:v>
      </x:c>
      <x:c r="F96" s="17" t="str">
        <x:v>Direct partnership pitch</x:v>
      </x:c>
      <x:c r="G96" s="17" t="str">
        <x:v>$500–$5,000</x:v>
      </x:c>
      <x:c r="H96" s="20" t="n">
        <x:v>4</x:v>
      </x:c>
      <x:c r="I96" s="20" t="n">
        <x:v>2</x:v>
      </x:c>
      <x:c r="J96" s="20" t="n">
        <x:v>2</x:v>
      </x:c>
      <x:c r="K96" s="20" t="n">
        <x:f>H96*3+I96*2+J96</x:f>
        <x:v>18</x:v>
      </x:c>
      <x:c r="L96" s="17" t="str">
        <x:v>National</x:v>
      </x:c>
      <x:c r="M96" s="17" t="str">
        <x:v>Community impact, partnerships, or DevRel</x:v>
      </x:c>
      <x:c r="N96" s="17" t="str">
        <x:v>https://www.firstinspires.org/hubfs/web/about/report/annual_report_2025.pdf?hsLang=en</x:v>
      </x:c>
      <x:c r="O96" s="17" t="str">
        <x:v>Not contacted</x:v>
      </x:c>
      <x:c r="P96" s="17" t="str"/>
      <x:c r="Q96" s="17" t="str"/>
      <x:c r="R96" s="17" t="str">
        <x:v>Research named contact</x:v>
      </x:c>
      <x:c r="S96" s="17" t="str"/>
    </x:row>
    <x:row r="97" ht="54" customHeight="1">
      <x:c r="A97" s="14" t="n">
        <x:v>93</x:v>
      </x:c>
      <x:c r="B97" s="14" t="str">
        <x:f>IF(K97&gt;=24,"A",IF(K97&gt;=19,"B","C"))</x:f>
        <x:v>C</x:v>
      </x:c>
      <x:c r="C97" s="14" t="str">
        <x:v>FedEx</x:v>
      </x:c>
      <x:c r="D97" s="17" t="str">
        <x:v>Logistics</x:v>
      </x:c>
      <x:c r="E97" s="17" t="str">
        <x:v>Listed as a 2024–25 FIRST corporate/foundation contributor supporting youth STEM</x:v>
      </x:c>
      <x:c r="F97" s="17" t="str">
        <x:v>Direct partnership pitch</x:v>
      </x:c>
      <x:c r="G97" s="17" t="str">
        <x:v>$500–$5,000</x:v>
      </x:c>
      <x:c r="H97" s="20" t="n">
        <x:v>4</x:v>
      </x:c>
      <x:c r="I97" s="20" t="n">
        <x:v>2</x:v>
      </x:c>
      <x:c r="J97" s="20" t="n">
        <x:v>2</x:v>
      </x:c>
      <x:c r="K97" s="20" t="n">
        <x:f>H97*3+I97*2+J97</x:f>
        <x:v>18</x:v>
      </x:c>
      <x:c r="L97" s="17" t="str">
        <x:v>National</x:v>
      </x:c>
      <x:c r="M97" s="17" t="str">
        <x:v>Community impact, partnerships, or DevRel</x:v>
      </x:c>
      <x:c r="N97" s="17" t="str">
        <x:v>https://www.firstinspires.org/hubfs/web/about/report/annual_report_2025.pdf?hsLang=en</x:v>
      </x:c>
      <x:c r="O97" s="17" t="str">
        <x:v>Not contacted</x:v>
      </x:c>
      <x:c r="P97" s="17" t="str"/>
      <x:c r="Q97" s="17" t="str"/>
      <x:c r="R97" s="17" t="str">
        <x:v>Research named contact</x:v>
      </x:c>
      <x:c r="S97" s="17" t="str"/>
    </x:row>
    <x:row r="98" ht="54" customHeight="1">
      <x:c r="A98" s="14" t="n">
        <x:v>94</x:v>
      </x:c>
      <x:c r="B98" s="14" t="str">
        <x:f>IF(K98&gt;=24,"A",IF(K98&gt;=19,"B","C"))</x:f>
        <x:v>C</x:v>
      </x:c>
      <x:c r="C98" s="14" t="str">
        <x:v>UPS</x:v>
      </x:c>
      <x:c r="D98" s="17" t="str">
        <x:v>Logistics</x:v>
      </x:c>
      <x:c r="E98" s="17" t="str">
        <x:v>Listed as a 2024–25 FIRST corporate/foundation contributor supporting youth STEM</x:v>
      </x:c>
      <x:c r="F98" s="17" t="str">
        <x:v>Direct partnership pitch</x:v>
      </x:c>
      <x:c r="G98" s="17" t="str">
        <x:v>$500–$5,000</x:v>
      </x:c>
      <x:c r="H98" s="20" t="n">
        <x:v>4</x:v>
      </x:c>
      <x:c r="I98" s="20" t="n">
        <x:v>2</x:v>
      </x:c>
      <x:c r="J98" s="20" t="n">
        <x:v>2</x:v>
      </x:c>
      <x:c r="K98" s="20" t="n">
        <x:f>H98*3+I98*2+J98</x:f>
        <x:v>18</x:v>
      </x:c>
      <x:c r="L98" s="17" t="str">
        <x:v>National</x:v>
      </x:c>
      <x:c r="M98" s="17" t="str">
        <x:v>Community impact, partnerships, or DevRel</x:v>
      </x:c>
      <x:c r="N98" s="17" t="str">
        <x:v>https://www.firstinspires.org/hubfs/web/about/report/annual_report_2025.pdf?hsLang=en</x:v>
      </x:c>
      <x:c r="O98" s="17" t="str">
        <x:v>Not contacted</x:v>
      </x:c>
      <x:c r="P98" s="17" t="str"/>
      <x:c r="Q98" s="17" t="str"/>
      <x:c r="R98" s="17" t="str">
        <x:v>Research named contact</x:v>
      </x:c>
      <x:c r="S98" s="17" t="str"/>
    </x:row>
    <x:row r="99" ht="54" customHeight="1">
      <x:c r="A99" s="14" t="n">
        <x:v>95</x:v>
      </x:c>
      <x:c r="B99" s="14" t="str">
        <x:f>IF(K99&gt;=24,"A",IF(K99&gt;=19,"B","C"))</x:f>
        <x:v>B</x:v>
      </x:c>
      <x:c r="C99" s="14" t="str">
        <x:v>Bank of America</x:v>
      </x:c>
      <x:c r="D99" s="17" t="str">
        <x:v>Financial services</x:v>
      </x:c>
      <x:c r="E99" s="17" t="str">
        <x:v>Listed as a 2024–25 FIRST corporate/foundation contributor supporting youth STEM</x:v>
      </x:c>
      <x:c r="F99" s="17" t="str">
        <x:v>Employee introduction / community-impact team</x:v>
      </x:c>
      <x:c r="G99" s="17" t="str">
        <x:v>$500–$5,000</x:v>
      </x:c>
      <x:c r="H99" s="20" t="n">
        <x:v>4</x:v>
      </x:c>
      <x:c r="I99" s="20" t="n">
        <x:v>3</x:v>
      </x:c>
      <x:c r="J99" s="20" t="n">
        <x:v>2</x:v>
      </x:c>
      <x:c r="K99" s="20" t="n">
        <x:f>H99*3+I99*2+J99</x:f>
        <x:v>20</x:v>
      </x:c>
      <x:c r="L99" s="17" t="str">
        <x:v>National</x:v>
      </x:c>
      <x:c r="M99" s="17" t="str">
        <x:v>CSR/community impact + warm employee</x:v>
      </x:c>
      <x:c r="N99" s="17" t="str">
        <x:v>https://www.firstinspires.org/hubfs/web/about/report/annual_report_2025.pdf?hsLang=en</x:v>
      </x:c>
      <x:c r="O99" s="17" t="str">
        <x:v>Not contacted</x:v>
      </x:c>
      <x:c r="P99" s="17" t="str"/>
      <x:c r="Q99" s="17" t="str"/>
      <x:c r="R99" s="17" t="str">
        <x:v>Research named contact</x:v>
      </x:c>
      <x:c r="S99" s="17" t="str"/>
    </x:row>
    <x:row r="100" ht="54" customHeight="1">
      <x:c r="A100" s="14" t="n">
        <x:v>96</x:v>
      </x:c>
      <x:c r="B100" s="14" t="str">
        <x:f>IF(K100&gt;=24,"A",IF(K100&gt;=19,"B","C"))</x:f>
        <x:v>B</x:v>
      </x:c>
      <x:c r="C100" s="14" t="str">
        <x:v>JPMorgan Chase</x:v>
      </x:c>
      <x:c r="D100" s="17" t="str">
        <x:v>Financial services</x:v>
      </x:c>
      <x:c r="E100" s="17" t="str">
        <x:v>Listed as a 2024–25 FIRST corporate/foundation contributor supporting youth STEM</x:v>
      </x:c>
      <x:c r="F100" s="17" t="str">
        <x:v>Employee introduction / community-impact team</x:v>
      </x:c>
      <x:c r="G100" s="17" t="str">
        <x:v>$500–$5,000</x:v>
      </x:c>
      <x:c r="H100" s="20" t="n">
        <x:v>4</x:v>
      </x:c>
      <x:c r="I100" s="20" t="n">
        <x:v>3</x:v>
      </x:c>
      <x:c r="J100" s="20" t="n">
        <x:v>2</x:v>
      </x:c>
      <x:c r="K100" s="20" t="n">
        <x:f>H100*3+I100*2+J100</x:f>
        <x:v>20</x:v>
      </x:c>
      <x:c r="L100" s="17" t="str">
        <x:v>National</x:v>
      </x:c>
      <x:c r="M100" s="17" t="str">
        <x:v>CSR/community impact + warm employee</x:v>
      </x:c>
      <x:c r="N100" s="17" t="str">
        <x:v>https://www.firstinspires.org/hubfs/web/about/report/annual_report_2025.pdf?hsLang=en</x:v>
      </x:c>
      <x:c r="O100" s="17" t="str">
        <x:v>Not contacted</x:v>
      </x:c>
      <x:c r="P100" s="17" t="str"/>
      <x:c r="Q100" s="17" t="str"/>
      <x:c r="R100" s="17" t="str">
        <x:v>Research named contact</x:v>
      </x:c>
      <x:c r="S100" s="17" t="str"/>
    </x:row>
    <x:row r="101" ht="54" customHeight="1">
      <x:c r="A101" s="14" t="n">
        <x:v>97</x:v>
      </x:c>
      <x:c r="B101" s="14" t="str">
        <x:f>IF(K101&gt;=24,"A",IF(K101&gt;=19,"B","C"))</x:f>
        <x:v>B</x:v>
      </x:c>
      <x:c r="C101" s="14" t="str">
        <x:v>American Express</x:v>
      </x:c>
      <x:c r="D101" s="17" t="str">
        <x:v>Financial services</x:v>
      </x:c>
      <x:c r="E101" s="17" t="str">
        <x:v>Listed as a 2024–25 FIRST corporate/foundation contributor supporting youth STEM</x:v>
      </x:c>
      <x:c r="F101" s="17" t="str">
        <x:v>Employee introduction / community-impact team</x:v>
      </x:c>
      <x:c r="G101" s="17" t="str">
        <x:v>$500–$5,000</x:v>
      </x:c>
      <x:c r="H101" s="20" t="n">
        <x:v>4</x:v>
      </x:c>
      <x:c r="I101" s="20" t="n">
        <x:v>3</x:v>
      </x:c>
      <x:c r="J101" s="20" t="n">
        <x:v>2</x:v>
      </x:c>
      <x:c r="K101" s="20" t="n">
        <x:f>H101*3+I101*2+J101</x:f>
        <x:v>20</x:v>
      </x:c>
      <x:c r="L101" s="17" t="str">
        <x:v>National</x:v>
      </x:c>
      <x:c r="M101" s="17" t="str">
        <x:v>CSR/community impact + warm employee</x:v>
      </x:c>
      <x:c r="N101" s="17" t="str">
        <x:v>https://www.firstinspires.org/hubfs/web/about/report/annual_report_2025.pdf?hsLang=en</x:v>
      </x:c>
      <x:c r="O101" s="17" t="str">
        <x:v>Not contacted</x:v>
      </x:c>
      <x:c r="P101" s="17" t="str"/>
      <x:c r="Q101" s="17" t="str"/>
      <x:c r="R101" s="17" t="str">
        <x:v>Research named contact</x:v>
      </x:c>
      <x:c r="S101" s="17" t="str"/>
    </x:row>
    <x:row r="102" ht="54" customHeight="1">
      <x:c r="A102" s="14" t="n">
        <x:v>98</x:v>
      </x:c>
      <x:c r="B102" s="14" t="str">
        <x:f>IF(K102&gt;=24,"A",IF(K102&gt;=19,"B","C"))</x:f>
        <x:v>B</x:v>
      </x:c>
      <x:c r="C102" s="14" t="str">
        <x:v>Fidelity Investments</x:v>
      </x:c>
      <x:c r="D102" s="17" t="str">
        <x:v>Financial services</x:v>
      </x:c>
      <x:c r="E102" s="17" t="str">
        <x:v>Listed as a 2024–25 FIRST corporate/foundation contributor supporting youth STEM</x:v>
      </x:c>
      <x:c r="F102" s="17" t="str">
        <x:v>Employee introduction / community-impact team</x:v>
      </x:c>
      <x:c r="G102" s="17" t="str">
        <x:v>$500–$5,000</x:v>
      </x:c>
      <x:c r="H102" s="20" t="n">
        <x:v>4</x:v>
      </x:c>
      <x:c r="I102" s="20" t="n">
        <x:v>3</x:v>
      </x:c>
      <x:c r="J102" s="20" t="n">
        <x:v>2</x:v>
      </x:c>
      <x:c r="K102" s="20" t="n">
        <x:f>H102*3+I102*2+J102</x:f>
        <x:v>20</x:v>
      </x:c>
      <x:c r="L102" s="17" t="str">
        <x:v>National</x:v>
      </x:c>
      <x:c r="M102" s="17" t="str">
        <x:v>CSR/community impact + warm employee</x:v>
      </x:c>
      <x:c r="N102" s="17" t="str">
        <x:v>https://www.firstinspires.org/hubfs/web/about/report/annual_report_2025.pdf?hsLang=en</x:v>
      </x:c>
      <x:c r="O102" s="17" t="str">
        <x:v>Not contacted</x:v>
      </x:c>
      <x:c r="P102" s="17" t="str"/>
      <x:c r="Q102" s="17" t="str"/>
      <x:c r="R102" s="17" t="str">
        <x:v>Research named contact</x:v>
      </x:c>
      <x:c r="S102" s="17" t="str"/>
    </x:row>
    <x:row r="103" ht="54" customHeight="1">
      <x:c r="A103" s="14" t="n">
        <x:v>99</x:v>
      </x:c>
      <x:c r="B103" s="14" t="str">
        <x:f>IF(K103&gt;=24,"A",IF(K103&gt;=19,"B","C"))</x:f>
        <x:v>C</x:v>
      </x:c>
      <x:c r="C103" s="14" t="str">
        <x:v>BNY Mellon</x:v>
      </x:c>
      <x:c r="D103" s="17" t="str">
        <x:v>Financial services</x:v>
      </x:c>
      <x:c r="E103" s="17" t="str">
        <x:v>Listed as a 2024–25 FIRST corporate/foundation contributor supporting youth STEM</x:v>
      </x:c>
      <x:c r="F103" s="17" t="str">
        <x:v>Direct partnership pitch</x:v>
      </x:c>
      <x:c r="G103" s="17" t="str">
        <x:v>$500–$5,000</x:v>
      </x:c>
      <x:c r="H103" s="20" t="n">
        <x:v>4</x:v>
      </x:c>
      <x:c r="I103" s="20" t="n">
        <x:v>2</x:v>
      </x:c>
      <x:c r="J103" s="20" t="n">
        <x:v>2</x:v>
      </x:c>
      <x:c r="K103" s="20" t="n">
        <x:f>H103*3+I103*2+J103</x:f>
        <x:v>18</x:v>
      </x:c>
      <x:c r="L103" s="17" t="str">
        <x:v>National</x:v>
      </x:c>
      <x:c r="M103" s="17" t="str">
        <x:v>Community impact, partnerships, or DevRel</x:v>
      </x:c>
      <x:c r="N103" s="17" t="str">
        <x:v>https://www.firstinspires.org/hubfs/web/about/report/annual_report_2025.pdf?hsLang=en</x:v>
      </x:c>
      <x:c r="O103" s="17" t="str">
        <x:v>Not contacted</x:v>
      </x:c>
      <x:c r="P103" s="17" t="str"/>
      <x:c r="Q103" s="17" t="str"/>
      <x:c r="R103" s="17" t="str">
        <x:v>Research named contact</x:v>
      </x:c>
      <x:c r="S103" s="17" t="str"/>
    </x:row>
    <x:row r="104" ht="54" customHeight="1">
      <x:c r="A104" s="15" t="n">
        <x:v>100</x:v>
      </x:c>
      <x:c r="B104" s="15" t="str">
        <x:f>IF(K104&gt;=24,"A",IF(K104&gt;=19,"B","C"))</x:f>
        <x:v>C</x:v>
      </x:c>
      <x:c r="C104" s="15" t="str">
        <x:v>Charles Schwab</x:v>
      </x:c>
      <x:c r="D104" s="18" t="str">
        <x:v>Financial services</x:v>
      </x:c>
      <x:c r="E104" s="18" t="str">
        <x:v>Listed as a 2024–25 FIRST corporate/foundation contributor supporting youth STEM</x:v>
      </x:c>
      <x:c r="F104" s="18" t="str">
        <x:v>Direct partnership pitch</x:v>
      </x:c>
      <x:c r="G104" s="18" t="str">
        <x:v>$500–$5,000</x:v>
      </x:c>
      <x:c r="H104" s="21" t="n">
        <x:v>4</x:v>
      </x:c>
      <x:c r="I104" s="21" t="n">
        <x:v>2</x:v>
      </x:c>
      <x:c r="J104" s="21" t="n">
        <x:v>2</x:v>
      </x:c>
      <x:c r="K104" s="21" t="n">
        <x:f>H104*3+I104*2+J104</x:f>
        <x:v>18</x:v>
      </x:c>
      <x:c r="L104" s="18" t="str">
        <x:v>National</x:v>
      </x:c>
      <x:c r="M104" s="18" t="str">
        <x:v>Community impact, partnerships, or DevRel</x:v>
      </x:c>
      <x:c r="N104" s="18" t="str">
        <x:v>https://www.firstinspires.org/hubfs/web/about/report/annual_report_2025.pdf?hsLang=en</x:v>
      </x:c>
      <x:c r="O104" s="18" t="str">
        <x:v>Not contacted</x:v>
      </x:c>
      <x:c r="P104" s="18" t="str"/>
      <x:c r="Q104" s="18" t="str"/>
      <x:c r="R104" s="18" t="str">
        <x:v>Research named contact</x:v>
      </x:c>
      <x:c r="S104" s="18" t="str"/>
    </x:row>
  </x:sheetData>
  <x:mergeCells>
    <x:mergeCell ref="A1:G1"/>
    <x:mergeCell ref="A2:N2"/>
  </x:mergeCells>
  <x:conditionalFormatting sqref="B5:B104">
    <x:cfRule type="containsText" dxfId="0" priority="1" operator="containsText" text="A"/>
    <x:cfRule type="containsText" dxfId="1" priority="2" operator="containsText" text="B"/>
    <x:cfRule type="containsText" dxfId="2" priority="3" operator="containsText" text="C"/>
  </x:conditionalFormatting>
  <x:dataValidations count="1">
    <x:dataValidation type="list" sqref="O5:O104">
      <x:formula1>"Not contacted,Researching,Intro requested,Contacted,Follow-up,Meeting booked,Proposal sent,Won,Lost"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f3b6d1551ae4bd7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52" hidden="0" customWidth="1"/>
    <x:col min="3" max="3" width="66" hidden="0" customWidth="1"/>
  </x:cols>
  <x:sheetData>
    <x:row r="1" ht="34" customHeight="1">
      <x:c r="A1" s="2" t="str">
        <x:v>How to turn this list into $40k</x:v>
      </x:c>
      <x:c r="B1" s="2"/>
      <x:c r="C1" s="2"/>
      <x:c r="D1" s="2"/>
      <x:c r="E1" s="2"/>
      <x:c r="F1" s="2"/>
    </x:row>
    <x:row r="3">
      <x:c r="A3" s="24" t="str">
        <x:v>Field</x:v>
      </x:c>
      <x:c r="B3" s="24" t="str">
        <x:v>Meaning</x:v>
      </x:c>
      <x:c r="C3" s="24" t="str">
        <x:v>What to do</x:v>
      </x:c>
      <x:c r="D3" s="22" t="str"/>
      <x:c r="E3" s="22" t="str"/>
      <x:c r="F3" s="22" t="str"/>
    </x:row>
    <x:row r="4" ht="44" customHeight="1">
      <x:c r="A4" s="25" t="str">
        <x:v>Priority A</x:v>
      </x:c>
      <x:c r="B4" s="25" t="str">
        <x:v>Best combination of Launchpad fit, access, and Bay Area relevance</x:v>
      </x:c>
      <x:c r="C4" s="25" t="str">
        <x:v>Start here; find a named person before sending anything</x:v>
      </x:c>
      <x:c r="D4" t="str"/>
      <x:c r="E4" t="str"/>
      <x:c r="F4" t="str"/>
    </x:row>
    <x:row r="5" ht="44" customHeight="1">
      <x:c r="A5" s="25" t="str">
        <x:v>Priority B</x:v>
      </x:c>
      <x:c r="B5" s="25" t="str">
        <x:v>Good fit, but weaker access or location</x:v>
      </x:c>
      <x:c r="C5" s="25" t="str">
        <x:v>Work after the first 20–30 A prospects</x:v>
      </x:c>
      <x:c r="D5" t="str"/>
      <x:c r="E5" t="str"/>
      <x:c r="F5" t="str"/>
    </x:row>
    <x:row r="6" ht="44" customHeight="1">
      <x:c r="A6" s="25" t="str">
        <x:v>Priority C</x:v>
      </x:c>
      <x:c r="B6" s="25" t="str">
        <x:v>Proven giving potential but lower near-term odds</x:v>
      </x:c>
      <x:c r="C6" s="25" t="str">
        <x:v>Use only with a warm introduction or highly specific angle</x:v>
      </x:c>
      <x:c r="D6" t="str"/>
      <x:c r="E6" t="str"/>
      <x:c r="F6" t="str"/>
    </x:row>
    <x:row r="7" ht="44" customHeight="1">
      <x:c r="A7" s="25" t="str">
        <x:v>Open application</x:v>
      </x:c>
      <x:c r="B7" s="25" t="str">
        <x:v>A public submission path was verified</x:v>
      </x:c>
      <x:c r="C7" s="25" t="str">
        <x:v>Read eligibility closely and apply through Hack Club fiscal sponsorship where allowed</x:v>
      </x:c>
      <x:c r="D7" t="str"/>
      <x:c r="E7" t="str"/>
      <x:c r="F7" t="str"/>
    </x:row>
    <x:row r="8" ht="44" customHeight="1">
      <x:c r="A8" s="25" t="str">
        <x:v>Employee introduction</x:v>
      </x:c>
      <x:c r="B8" s="25" t="str">
        <x:v>Giving is commonly relationship- or employee-led</x:v>
      </x:c>
      <x:c r="C8" s="25" t="str">
        <x:v>Ask parents, mentors, alumni, and LinkedIn contacts for an internal referral</x:v>
      </x:c>
      <x:c r="D8" t="str"/>
      <x:c r="E8" t="str"/>
      <x:c r="F8" t="str"/>
    </x:row>
    <x:row r="9" ht="44" customHeight="1">
      <x:c r="A9" s="25" t="str">
        <x:v>Direct partnership pitch</x:v>
      </x:c>
      <x:c r="B9" s="25" t="str">
        <x:v>No public open application was verified</x:v>
      </x:c>
      <x:c r="C9" s="25" t="str">
        <x:v>Pitch Community Impact, Partnerships, DevRel, Early Talent, or local site leadership</x:v>
      </x:c>
      <x:c r="D9" t="str"/>
      <x:c r="E9" t="str"/>
      <x:c r="F9" t="str"/>
    </x:row>
    <x:row r="10" ht="44" customHeight="1">
      <x:c r="A10" s="25" t="str">
        <x:v>Suggested weekly cadence</x:v>
      </x:c>
      <x:c r="B10" s="25" t="str">
        <x:v>25 researched names • 20 messages • 10 intro asks • 3 calls</x:v>
      </x:c>
      <x:c r="C10" s="25" t="str">
        <x:v>Do this every week until the pipeline reaches at least $150k in asks</x:v>
      </x:c>
      <x:c r="D10" t="str"/>
      <x:c r="E10" t="str"/>
      <x:c r="F10" t="str"/>
    </x:row>
    <x:row r="11" ht="44" customHeight="1">
      <x:c r="A11" s="25" t="str">
        <x:v>Target portfolio</x:v>
      </x:c>
      <x:c r="B11" s="25" t="str">
        <x:v>2 × $10k + 6 × $2.5k + 10 × $500</x:v>
      </x:c>
      <x:c r="C11" s="25" t="str">
        <x:v>$40,000 total; seek commitments by February 2027</x:v>
      </x:c>
      <x:c r="D11" t="str"/>
      <x:c r="E11" t="str"/>
      <x:c r="F11" t="str"/>
    </x:row>
    <x:row r="12" ht="44" customHeight="1">
      <x:c r="A12" s="26" t="str">
        <x:v>Important caveat</x:v>
      </x:c>
      <x:c r="B12" s="26" t="str">
        <x:v>A historical sponsorship does not guarantee an open 2026–27 application</x:v>
      </x:c>
      <x:c r="C12" s="26" t="str">
        <x:v>Confirm current eligibility and deadlines before applying</x:v>
      </x:c>
      <x:c r="D12" t="str"/>
      <x:c r="E12" t="str"/>
      <x:c r="F12" t="str"/>
    </x:row>
  </x:sheetData>
  <x:mergeCells>
    <x:mergeCell ref="A1:F1"/>
  </x:mergeCells>
  <x:pageMargins left="0.7" right="0.7" top="0.75" bottom="0.75" header="0.3" footer="0.3"/>
</x:worksheet>
</file>